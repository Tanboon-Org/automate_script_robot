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out" sheetId="1" state="visible" r:id="rId1"/>
    <sheet name="A-Account-Auth" sheetId="2" state="visible" r:id="rId2"/>
    <sheet name="B-MessageCard" sheetId="3" state="visible" r:id="rId3"/>
    <sheet name="F-ProductDiscovery" sheetId="4" state="visible" r:id="rId4"/>
    <sheet name="G-Content-SEO" sheetId="5" state="visible" r:id="rId5"/>
    <sheet name="H-LINE-B2B" sheetId="6" state="visible" r:id="rId6"/>
    <sheet name="I-Tracking" sheetId="7" state="visible" r:id="rId7"/>
    <sheet name="J-Contact-Corporate" sheetId="8" state="visible" r:id="rId8"/>
    <sheet name="K-Global" sheetId="9" state="visible" r:id="rId9"/>
    <sheet name="L-Cross-cutting" sheetId="10" state="visible" r:id="rId10"/>
    <sheet name="summary_fullsite" sheetId="11" state="visible" r:id="rId11"/>
    <sheet name="Progress 2026-06-30" sheetId="12" state="visible" r:id="rId12"/>
    <sheet name="summary" sheetId="13" state="visible" r:id="rId13"/>
  </sheets>
  <definedNames>
    <definedName name="_xlnm._FilterDatabase" localSheetId="0" hidden="1">'checkout'!$A$1:$Q$76</definedName>
    <definedName name="_xlnm._FilterDatabase" localSheetId="1" hidden="1">'A-Account-Auth'!$A$1:$Q$53</definedName>
    <definedName name="_xlnm._FilterDatabase" localSheetId="2" hidden="1">'B-MessageCard'!$A$1:$Q$13</definedName>
    <definedName name="_xlnm._FilterDatabase" localSheetId="3" hidden="1">'F-ProductDiscovery'!$A$1:$Q$11</definedName>
    <definedName name="_xlnm._FilterDatabase" localSheetId="4" hidden="1">'G-Content-SEO'!$A$1:$Q$9</definedName>
    <definedName name="_xlnm._FilterDatabase" localSheetId="5" hidden="1">'H-LINE-B2B'!$A$1:$Q$7</definedName>
    <definedName name="_xlnm._FilterDatabase" localSheetId="6" hidden="1">'I-Tracking'!$A$1:$Q$7</definedName>
    <definedName name="_xlnm._FilterDatabase" localSheetId="7" hidden="1">'J-Contact-Corporate'!$A$1:$Q$4</definedName>
    <definedName name="_xlnm._FilterDatabase" localSheetId="8" hidden="1">'K-Global'!$A$1:$Q$6</definedName>
    <definedName name="_xlnm._FilterDatabase" localSheetId="9" hidden="1">'L-Cross-cutting'!$A$1:$Q$12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8" customWidth="1" min="4" max="4"/>
    <col width="12" customWidth="1" min="5" max="5"/>
    <col width="16" customWidth="1" min="6" max="6"/>
    <col width="9" customWidth="1" min="7" max="7"/>
    <col width="14" customWidth="1" min="8" max="8"/>
    <col width="12" customWidth="1" min="9" max="9"/>
    <col width="12" customWidth="1" min="10" max="10"/>
    <col width="26" customWidth="1" min="11" max="11"/>
    <col width="24" customWidth="1" min="12" max="12"/>
    <col width="18" customWidth="1" min="13" max="13"/>
    <col width="40" customWidth="1" min="14" max="14"/>
    <col width="42" customWidth="1" min="15" max="15"/>
    <col width="28" customWidth="1" min="16" max="16"/>
    <col width="22" customWidth="1" min="17" max="17"/>
  </cols>
  <sheetData>
    <row r="1">
      <c r="A1" s="1" t="inlineStr">
        <is>
          <t>Test Case ID</t>
        </is>
      </c>
      <c r="B1" s="1" t="inlineStr">
        <is>
          <t>Group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Test Level</t>
        </is>
      </c>
      <c r="F1" s="1" t="inlineStr">
        <is>
          <t>Test Type</t>
        </is>
      </c>
      <c r="G1" s="1" t="inlineStr">
        <is>
          <t>Priority</t>
        </is>
      </c>
      <c r="H1" s="1" t="inlineStr">
        <is>
          <t>Script Status</t>
        </is>
      </c>
      <c r="I1" s="1" t="inlineStr">
        <is>
          <t>Automatable</t>
        </is>
      </c>
      <c r="J1" s="1" t="inlineStr">
        <is>
          <t>Assignee</t>
        </is>
      </c>
      <c r="K1" s="1" t="inlineStr">
        <is>
          <t>Script File / Notes</t>
        </is>
      </c>
      <c r="L1" s="1" t="inlineStr">
        <is>
          <t>Preconditions</t>
        </is>
      </c>
      <c r="M1" s="1" t="inlineStr">
        <is>
          <t>Test Data</t>
        </is>
      </c>
      <c r="N1" s="1" t="inlineStr">
        <is>
          <t>Test Steps</t>
        </is>
      </c>
      <c r="O1" s="1" t="inlineStr">
        <is>
          <t>Expected Result</t>
        </is>
      </c>
      <c r="P1" s="1" t="inlineStr">
        <is>
          <t>Code Evidence</t>
        </is>
      </c>
      <c r="Q1" s="1" t="inlineStr">
        <is>
          <t>Remark</t>
        </is>
      </c>
    </row>
    <row r="2" ht="45" customHeight="1">
      <c r="A2" s="2" t="inlineStr">
        <is>
          <t>TC-HOME-01-R</t>
        </is>
      </c>
      <c r="B2" s="2" t="inlineStr">
        <is>
          <t>Home / Navigation</t>
        </is>
      </c>
      <c r="C2" s="2" t="inlineStr">
        <is>
          <t>Home</t>
        </is>
      </c>
      <c r="D2" s="2" t="inlineStr">
        <is>
          <t>เมนูหมวด</t>
        </is>
      </c>
      <c r="E2" s="2" t="inlineStr">
        <is>
          <t>UI</t>
        </is>
      </c>
      <c r="F2" s="2" t="inlineStr">
        <is>
          <t>Positive</t>
        </is>
      </c>
      <c r="G2" s="3" t="inlineStr">
        <is>
          <t>High</t>
        </is>
      </c>
      <c r="H2" s="4" t="inlineStr">
        <is>
          <t>Script Done</t>
        </is>
      </c>
      <c r="I2" s="2" t="inlineStr">
        <is>
          <t>Yes</t>
        </is>
      </c>
      <c r="J2" s="2" t="inlineStr"/>
      <c r="K2" s="2" t="inlineStr">
        <is>
          <t>tests/checkout/TC-HOME-01-R_category-menu-navigates.robot — PASS (RF port)</t>
        </is>
      </c>
      <c r="L2" s="2" t="inlineStr">
        <is>
          <t>Home โหลดสำเร็จ</t>
        </is>
      </c>
      <c r="M2" s="2" t="inlineStr">
        <is>
          <t>เมนู "พวงหรีดดอกไม้สด"</t>
        </is>
      </c>
      <c r="N2" s="2" t="inlineStr">
        <is>
          <t>1.เปิด `/` 2.คลิก dropdown 3.คลิกหมวดย่อย</t>
        </is>
      </c>
      <c r="O2" s="2" t="inlineStr">
        <is>
          <t>URL เปลี่ยนเป็น slug หมวด, listing แสดงสินค้าหมวดนั้น, breadcrumb ตรง</t>
        </is>
      </c>
      <c r="P2" s="2" t="inlineStr">
        <is>
          <t>`src/app/[...slug]/page.tsx`</t>
        </is>
      </c>
      <c r="Q2" s="2" t="inlineStr">
        <is>
          <t>เมนูหลัก `href="#"`+JS</t>
        </is>
      </c>
    </row>
    <row r="3" ht="45" customHeight="1">
      <c r="A3" s="2" t="inlineStr">
        <is>
          <t>TC-HOME-02</t>
        </is>
      </c>
      <c r="B3" s="2" t="inlineStr">
        <is>
          <t>Home / Navigation</t>
        </is>
      </c>
      <c r="C3" s="2" t="inlineStr">
        <is>
          <t>Home</t>
        </is>
      </c>
      <c r="D3" s="2" t="inlineStr">
        <is>
          <t>แบนเนอร์/โซเชียล</t>
        </is>
      </c>
      <c r="E3" s="2" t="inlineStr">
        <is>
          <t>Manual Exploratory</t>
        </is>
      </c>
      <c r="F3" s="2" t="inlineStr">
        <is>
          <t>Positive</t>
        </is>
      </c>
      <c r="G3" s="4" t="inlineStr">
        <is>
          <t>Low</t>
        </is>
      </c>
      <c r="H3" s="2" t="inlineStr">
        <is>
          <t>Not Started</t>
        </is>
      </c>
      <c r="I3" s="2" t="inlineStr"/>
      <c r="J3" s="2" t="inlineStr"/>
      <c r="K3" s="2" t="inlineStr"/>
      <c r="L3" s="2" t="inlineStr">
        <is>
          <t>Home โหลดสำเร็จ</t>
        </is>
      </c>
      <c r="M3" s="2" t="inlineStr">
        <is>
          <t>แบนเนอร์ขายดี, LINE, tel</t>
        </is>
      </c>
      <c r="N3" s="2" t="inlineStr">
        <is>
          <t>1.คลิกแบนเนอร์ 2.คลิก LINE/โทร</t>
        </is>
      </c>
      <c r="O3" s="2" t="inlineStr">
        <is>
          <t>แบนเนอร์ → collection ถูก; LINE/โทร deep link</t>
        </is>
      </c>
      <c r="P3" s="2" t="inlineStr">
        <is>
          <t>`home/*`, `Footer`</t>
        </is>
      </c>
      <c r="Q3" s="2" t="inlineStr">
        <is>
          <t>external — assert URL</t>
        </is>
      </c>
    </row>
    <row r="4" ht="45" customHeight="1">
      <c r="A4" s="2" t="inlineStr">
        <is>
          <t>TC-CAT-01-R</t>
        </is>
      </c>
      <c r="B4" s="2" t="inlineStr">
        <is>
          <t>Category / Listing / Search</t>
        </is>
      </c>
      <c r="C4" s="2" t="inlineStr">
        <is>
          <t>Category</t>
        </is>
      </c>
      <c r="D4" s="2" t="inlineStr">
        <is>
          <t>แสดงสินค้า</t>
        </is>
      </c>
      <c r="E4" s="2" t="inlineStr">
        <is>
          <t>UI</t>
        </is>
      </c>
      <c r="F4" s="2" t="inlineStr">
        <is>
          <t>Positive</t>
        </is>
      </c>
      <c r="G4" s="3" t="inlineStr">
        <is>
          <t>High</t>
        </is>
      </c>
      <c r="H4" s="2" t="inlineStr">
        <is>
          <t>Script Done</t>
        </is>
      </c>
      <c r="I4" s="2" t="inlineStr">
        <is>
          <t>Yes</t>
        </is>
      </c>
      <c r="J4" s="2" t="inlineStr"/>
      <c r="K4" s="2" t="inlineStr">
        <is>
          <t>tests/category/TC-CAT-01_listing-renders.robot — PASS (RF; robot tag TC-CAT-01)</t>
        </is>
      </c>
      <c r="L4" s="2" t="inlineStr">
        <is>
          <t>มีสินค้าในหมวด</t>
        </is>
      </c>
      <c r="M4" s="2" t="inlineStr">
        <is>
          <t>`/ร้านพวงหรีด/พวงหรีดดอกไม้สด/`</t>
        </is>
      </c>
      <c r="N4" s="2" t="inlineStr">
        <is>
          <t>1.เปิดหมวด 2.ตรวจการ์ด</t>
        </is>
      </c>
      <c r="O4" s="2" t="inlineStr">
        <is>
          <t>แสดงรูป/ชื่อ/รหัส/ราคาโปร+เดิม, จำนวนรวมถูก</t>
        </is>
      </c>
      <c r="P4" s="2" t="inlineStr">
        <is>
          <t>`app/products/page.tsx`</t>
        </is>
      </c>
      <c r="Q4" s="2" t="inlineStr">
        <is>
          <t>smoke</t>
        </is>
      </c>
    </row>
    <row r="5" ht="45" customHeight="1">
      <c r="A5" s="2" t="inlineStr">
        <is>
          <t>TC-CAT-02-R</t>
        </is>
      </c>
      <c r="B5" s="2" t="inlineStr">
        <is>
          <t>Category / Listing / Search</t>
        </is>
      </c>
      <c r="C5" s="2" t="inlineStr">
        <is>
          <t>Category</t>
        </is>
      </c>
      <c r="D5" s="2" t="inlineStr">
        <is>
          <t>Sort</t>
        </is>
      </c>
      <c r="E5" s="2" t="inlineStr">
        <is>
          <t>UI</t>
        </is>
      </c>
      <c r="F5" s="2" t="inlineStr">
        <is>
          <t>Positive/Boundary</t>
        </is>
      </c>
      <c r="G5" s="3" t="inlineStr">
        <is>
          <t>High</t>
        </is>
      </c>
      <c r="H5" s="2" t="inlineStr">
        <is>
          <t>Not Started</t>
        </is>
      </c>
      <c r="I5" s="2" t="inlineStr"/>
      <c r="J5" s="2" t="inlineStr"/>
      <c r="K5" s="2" t="inlineStr"/>
      <c r="L5" s="2" t="inlineStr">
        <is>
          <t>listing ≥2 สินค้า</t>
        </is>
      </c>
      <c r="M5" s="2" t="inlineStr">
        <is>
          <t>sort: แนะนำ/ช่วงราคา</t>
        </is>
      </c>
      <c r="N5" s="2" t="inlineStr">
        <is>
          <t>1.เลือก sort 2.อ่าน URL param 3.parse ราคา</t>
        </is>
      </c>
      <c r="O5" s="2" t="inlineStr">
        <is>
          <t>"ช่วงราคา"→param `price` เรียงถูก; "แนะนำ"→`recommend`; URL คงค่า</t>
        </is>
      </c>
      <c r="P5" s="2" t="inlineStr">
        <is>
          <t>`filter.ts:41-42`</t>
        </is>
      </c>
      <c r="Q5" s="2" t="inlineStr">
        <is>
          <t>data-driven</t>
        </is>
      </c>
    </row>
    <row r="6" ht="45" customHeight="1">
      <c r="A6" s="2" t="inlineStr">
        <is>
          <t>TC-CAT-03</t>
        </is>
      </c>
      <c r="B6" s="2" t="inlineStr">
        <is>
          <t>Category / Listing / Search</t>
        </is>
      </c>
      <c r="C6" s="2" t="inlineStr">
        <is>
          <t>Category</t>
        </is>
      </c>
      <c r="D6" s="2" t="inlineStr">
        <is>
          <t>Filter + ล้าง</t>
        </is>
      </c>
      <c r="E6" s="2" t="inlineStr">
        <is>
          <t>UI</t>
        </is>
      </c>
      <c r="F6" s="2" t="inlineStr">
        <is>
          <t>Positive</t>
        </is>
      </c>
      <c r="G6" s="3" t="inlineStr">
        <is>
          <t>High</t>
        </is>
      </c>
      <c r="H6" s="2" t="inlineStr">
        <is>
          <t>Not Started</t>
        </is>
      </c>
      <c r="I6" s="2" t="inlineStr"/>
      <c r="J6" s="2" t="inlineStr"/>
      <c r="K6" s="2" t="inlineStr"/>
      <c r="L6" s="2" t="inlineStr">
        <is>
          <t>อยู่ listing</t>
        </is>
      </c>
      <c r="M6" s="2" t="inlineStr">
        <is>
          <t>ตัวกรองช่วงราคา/ประเภท</t>
        </is>
      </c>
      <c r="N6" s="2" t="inlineStr">
        <is>
          <t>1.เลือกตัวกรอง 2.ตรวจผล 3.ล้างตัวกรอง</t>
        </is>
      </c>
      <c r="O6" s="2" t="inlineStr">
        <is>
          <t>ผลตรงเงื่อนไข; ล้าง→รายการเต็ม; ตัวนับอัปเดต</t>
        </is>
      </c>
      <c r="P6" s="2" t="inlineStr">
        <is>
          <t>`filter.ts`, `process_*_condition`</t>
        </is>
      </c>
      <c r="Q6" s="2" t="inlineStr">
        <is>
          <t>keep</t>
        </is>
      </c>
    </row>
    <row r="7" ht="45" customHeight="1">
      <c r="A7" s="2" t="inlineStr">
        <is>
          <t>TC-CAT-04</t>
        </is>
      </c>
      <c r="B7" s="2" t="inlineStr">
        <is>
          <t>Category / Listing / Search</t>
        </is>
      </c>
      <c r="C7" s="2" t="inlineStr">
        <is>
          <t>Category</t>
        </is>
      </c>
      <c r="D7" s="2" t="inlineStr">
        <is>
          <t>Pagination</t>
        </is>
      </c>
      <c r="E7" s="2" t="inlineStr">
        <is>
          <t>UI</t>
        </is>
      </c>
      <c r="F7" s="2" t="inlineStr">
        <is>
          <t>Boundary</t>
        </is>
      </c>
      <c r="G7" s="5" t="inlineStr">
        <is>
          <t>Medium</t>
        </is>
      </c>
      <c r="H7" s="2" t="inlineStr">
        <is>
          <t>Not Started</t>
        </is>
      </c>
      <c r="I7" s="2" t="inlineStr"/>
      <c r="J7" s="2" t="inlineStr"/>
      <c r="K7" s="2" t="inlineStr"/>
      <c r="L7" s="2" t="inlineStr">
        <is>
          <t>หมวดหลายหน้า</t>
        </is>
      </c>
      <c r="M7" s="2" t="inlineStr">
        <is>
          <t>หน้า 1/2/สุดท้าย</t>
        </is>
      </c>
      <c r="N7" s="2" t="inlineStr">
        <is>
          <t>1.คลิกถัดไป/เลขหน้า 2.หน้าสุดท้าย 3.ก่อนหน้า</t>
        </is>
      </c>
      <c r="O7" s="2" t="inlineStr">
        <is>
          <t>เปลี่ยนหน้าถูก; ก่อนหน้า disabled ที่หน้า1; ไม่ซ้ำข้ามหน้า</t>
        </is>
      </c>
      <c r="P7" s="2" t="inlineStr">
        <is>
          <t>`Pagination.tsx`, `_products` paginate</t>
        </is>
      </c>
      <c r="Q7" s="2" t="inlineStr">
        <is>
          <t>ยืนยัน page vs load-more</t>
        </is>
      </c>
    </row>
    <row r="8" ht="45" customHeight="1">
      <c r="A8" s="2" t="inlineStr">
        <is>
          <t>TC-CAT-05-R</t>
        </is>
      </c>
      <c r="B8" s="2" t="inlineStr">
        <is>
          <t>Category / Listing / Search</t>
        </is>
      </c>
      <c r="C8" s="2" t="inlineStr">
        <is>
          <t>Category</t>
        </is>
      </c>
      <c r="D8" s="2" t="inlineStr">
        <is>
          <t>Empty result</t>
        </is>
      </c>
      <c r="E8" s="2" t="inlineStr">
        <is>
          <t>UI</t>
        </is>
      </c>
      <c r="F8" s="2" t="inlineStr">
        <is>
          <t>Negative</t>
        </is>
      </c>
      <c r="G8" s="5" t="inlineStr">
        <is>
          <t>Medium</t>
        </is>
      </c>
      <c r="H8" s="2" t="inlineStr">
        <is>
          <t>Not Started</t>
        </is>
      </c>
      <c r="I8" s="2" t="inlineStr"/>
      <c r="J8" s="2" t="inlineStr"/>
      <c r="K8" s="2" t="inlineStr"/>
      <c r="L8" s="2" t="inlineStr">
        <is>
          <t>—</t>
        </is>
      </c>
      <c r="M8" s="2" t="inlineStr">
        <is>
          <t>filter combo ที่ให้ 0 ผล</t>
        </is>
      </c>
      <c r="N8" s="2" t="inlineStr">
        <is>
          <t>1.ตั้งตัวกรองเข้มจน 0 รายการ</t>
        </is>
      </c>
      <c r="O8" s="2" t="inlineStr">
        <is>
          <t>empty state สื่อความหมาย + ทางเลือกล้างตัวกรอง</t>
        </is>
      </c>
      <c r="P8" s="2" t="inlineStr">
        <is>
          <t>`ProductSection` (empty)</t>
        </is>
      </c>
      <c r="Q8" s="2" t="inlineStr">
        <is>
          <t>ระบุ filter combo</t>
        </is>
      </c>
    </row>
    <row r="9" ht="45" customHeight="1">
      <c r="A9" s="2" t="inlineStr">
        <is>
          <t>TC-CAT-06</t>
        </is>
      </c>
      <c r="B9" s="2" t="inlineStr">
        <is>
          <t>Category / Listing / Search</t>
        </is>
      </c>
      <c r="C9" s="2" t="inlineStr">
        <is>
          <t>Category</t>
        </is>
      </c>
      <c r="D9" s="2" t="inlineStr">
        <is>
          <t>EXCLUDED_TAGS</t>
        </is>
      </c>
      <c r="E9" s="2" t="inlineStr">
        <is>
          <t>UI</t>
        </is>
      </c>
      <c r="F9" s="2" t="inlineStr">
        <is>
          <t>Negative</t>
        </is>
      </c>
      <c r="G9" s="5" t="inlineStr">
        <is>
          <t>Medium</t>
        </is>
      </c>
      <c r="H9" s="2" t="inlineStr">
        <is>
          <t>Not Started</t>
        </is>
      </c>
      <c r="I9" s="2" t="inlineStr"/>
      <c r="J9" s="2" t="inlineStr"/>
      <c r="K9" s="2" t="inlineStr"/>
      <c r="L9" s="2" t="inlineStr">
        <is>
          <t>—</t>
        </is>
      </c>
      <c r="M9" s="2" t="inlineStr">
        <is>
          <t>หมวดที่มี excluded tag</t>
        </is>
      </c>
      <c r="N9" s="2" t="inlineStr">
        <is>
          <t>1.เปิด listing</t>
        </is>
      </c>
      <c r="O9" s="2" t="inlineStr">
        <is>
          <t>สินค้า excluded ไม่แสดง</t>
        </is>
      </c>
      <c r="P9" s="2" t="inlineStr">
        <is>
          <t>`StoreController::process_excluded_tags`</t>
        </is>
      </c>
      <c r="Q9" s="2" t="inlineStr">
        <is>
          <t>ขอค่า env</t>
        </is>
      </c>
    </row>
    <row r="10" ht="45" customHeight="1">
      <c r="A10" s="2" t="inlineStr">
        <is>
          <t>TC-SRCH-01-R</t>
        </is>
      </c>
      <c r="B10" s="2" t="inlineStr">
        <is>
          <t>Category / Listing / Search</t>
        </is>
      </c>
      <c r="C10" s="2" t="inlineStr">
        <is>
          <t>Search</t>
        </is>
      </c>
      <c r="D10" s="2" t="inlineStr">
        <is>
          <t>keyword vs UI box</t>
        </is>
      </c>
      <c r="E10" s="2" t="inlineStr">
        <is>
          <t>UI</t>
        </is>
      </c>
      <c r="F10" s="2" t="inlineStr">
        <is>
          <t>Negative/Exploratory</t>
        </is>
      </c>
      <c r="G10" s="5" t="inlineStr">
        <is>
          <t>Medium</t>
        </is>
      </c>
      <c r="H10" s="2" t="inlineStr">
        <is>
          <t>Not Started</t>
        </is>
      </c>
      <c r="I10" s="2" t="inlineStr"/>
      <c r="J10" s="2" t="inlineStr"/>
      <c r="K10" s="2" t="inlineStr"/>
      <c r="L10" s="2" t="inlineStr">
        <is>
          <t>—</t>
        </is>
      </c>
      <c r="M10" s="2" t="inlineStr">
        <is>
          <t>keyword="ดอกไม้สด"</t>
        </is>
      </c>
      <c r="N10" s="2" t="inlineStr">
        <is>
          <t>1.หา search box (UI) 2.เปิด listing `?keyword=`</t>
        </is>
      </c>
      <c r="O10" s="2" t="inlineStr">
        <is>
          <t>**BE รองรับ `?keyword=` (listing กรองได้)**; กล่อง UI = `Not verifiable from code`</t>
        </is>
      </c>
      <c r="P10" s="2" t="inlineStr">
        <is>
          <t>`app/products/page.tsx:62-68`</t>
        </is>
      </c>
      <c r="Q10" s="2" t="inlineStr">
        <is>
          <t>แก้ assumption DEF-001</t>
        </is>
      </c>
    </row>
    <row r="11" ht="45" customHeight="1">
      <c r="A11" s="2" t="inlineStr">
        <is>
          <t>TC-PDP-01-R</t>
        </is>
      </c>
      <c r="B11" s="2" t="inlineStr">
        <is>
          <t>Product Detail</t>
        </is>
      </c>
      <c r="C11" s="2" t="inlineStr">
        <is>
          <t>PDP</t>
        </is>
      </c>
      <c r="D11" s="2" t="inlineStr">
        <is>
          <t>แสดงข้อมูล</t>
        </is>
      </c>
      <c r="E11" s="2" t="inlineStr">
        <is>
          <t>UI</t>
        </is>
      </c>
      <c r="F11" s="2" t="inlineStr">
        <is>
          <t>Positive</t>
        </is>
      </c>
      <c r="G11" s="3" t="inlineStr">
        <is>
          <t>High</t>
        </is>
      </c>
      <c r="H11" s="2" t="inlineStr">
        <is>
          <t>Script Done</t>
        </is>
      </c>
      <c r="I11" s="2" t="inlineStr">
        <is>
          <t>Yes</t>
        </is>
      </c>
      <c r="J11" s="2" t="inlineStr"/>
      <c r="K11" s="2" t="inlineStr">
        <is>
          <t>tests/product/TC-PDP-01_detail-info.robot — PASS (RF, data-driven; robot tag TC-PDP-01)</t>
        </is>
      </c>
      <c r="L11" s="2" t="inlineStr">
        <is>
          <t>สินค้ามีอยู่</t>
        </is>
      </c>
      <c r="M11" s="2" t="inlineStr">
        <is>
          <t>`/พวงหรีด/&lt;slug&gt;/`</t>
        </is>
      </c>
      <c r="N11" s="2" t="inlineStr">
        <is>
          <t>1.เปิด PDP 2.ตรวจชื่อ/รหัส/ราคา/ไซซ์/breadcrumb</t>
        </is>
      </c>
      <c r="O11" s="2" t="inlineStr">
        <is>
          <t>ข้อมูลตรง listing; ราคาโปร+เดิม; breadcrumb ถูก</t>
        </is>
      </c>
      <c r="P11" s="2" t="inlineStr">
        <is>
          <t>`api/product:getProductBySlug`</t>
        </is>
      </c>
      <c r="Q11" s="2" t="inlineStr">
        <is>
          <t>parameterize ต่อหลาย slug</t>
        </is>
      </c>
    </row>
    <row r="12" ht="45" customHeight="1">
      <c r="A12" s="2" t="inlineStr">
        <is>
          <t>TC-PDP-02</t>
        </is>
      </c>
      <c r="B12" s="2" t="inlineStr">
        <is>
          <t>Product Detail</t>
        </is>
      </c>
      <c r="C12" s="2" t="inlineStr">
        <is>
          <t>PDP</t>
        </is>
      </c>
      <c r="D12" s="2" t="inlineStr">
        <is>
          <t>Add to Cart</t>
        </is>
      </c>
      <c r="E12" s="2" t="inlineStr">
        <is>
          <t>UI</t>
        </is>
      </c>
      <c r="F12" s="2" t="inlineStr">
        <is>
          <t>Positive</t>
        </is>
      </c>
      <c r="G12" s="3" t="inlineStr">
        <is>
          <t>High</t>
        </is>
      </c>
      <c r="H12" s="2" t="inlineStr">
        <is>
          <t>Script Done</t>
        </is>
      </c>
      <c r="I12" s="2" t="inlineStr">
        <is>
          <t>Yes</t>
        </is>
      </c>
      <c r="J12" s="2" t="inlineStr"/>
      <c r="K12" s="2" t="inlineStr">
        <is>
          <t>tests/product/TC-PDP-04_add-to-cart-badge.robot — PASS (RF; robot tag TC-PDP-04)</t>
        </is>
      </c>
      <c r="L12" s="2" t="inlineStr">
        <is>
          <t>ตะกร้าว่าง</t>
        </is>
      </c>
      <c r="M12" s="2" t="inlineStr">
        <is>
          <t>TD-03</t>
        </is>
      </c>
      <c r="N12" s="2" t="inlineStr">
        <is>
          <t>1.กด "เพิ่มลงตะกร้า" 2.ดูตัวนับ 3.เปิด /cart/</t>
        </is>
      </c>
      <c r="O12" s="2" t="inlineStr">
        <is>
          <t>ตัวนับ +1; สินค้า+ราคาถูกใน cart; toast</t>
        </is>
      </c>
      <c r="P12" s="2" t="inlineStr">
        <is>
          <t>`AddItemButton`, `cart.ts`</t>
        </is>
      </c>
      <c r="Q12" s="2" t="inlineStr">
        <is>
          <t>critical</t>
        </is>
      </c>
    </row>
    <row r="13" ht="45" customHeight="1">
      <c r="A13" s="2" t="inlineStr">
        <is>
          <t>TC-PDP-03-R</t>
        </is>
      </c>
      <c r="B13" s="2" t="inlineStr">
        <is>
          <t>Product Detail</t>
        </is>
      </c>
      <c r="C13" s="2" t="inlineStr">
        <is>
          <t>PDP</t>
        </is>
      </c>
      <c r="D13" s="2" t="inlineStr">
        <is>
          <t>Buy Now</t>
        </is>
      </c>
      <c r="E13" s="2" t="inlineStr">
        <is>
          <t>UI</t>
        </is>
      </c>
      <c r="F13" s="2" t="inlineStr">
        <is>
          <t>Positive</t>
        </is>
      </c>
      <c r="G13" s="3" t="inlineStr">
        <is>
          <t>High</t>
        </is>
      </c>
      <c r="H13" s="4" t="inlineStr">
        <is>
          <t>Script Done</t>
        </is>
      </c>
      <c r="I13" s="2" t="inlineStr">
        <is>
          <t>Yes</t>
        </is>
      </c>
      <c r="J13" s="2" t="inlineStr"/>
      <c r="K13" s="2" t="inlineStr">
        <is>
          <t>tests/checkout/TC-PDP-03-R_buy-now-checkout.robot — PASS (Buy Now + sessionStorage, RF)</t>
        </is>
      </c>
      <c r="L13" s="2" t="inlineStr">
        <is>
          <t>TD-03 `allow_add_to_cart=true`</t>
        </is>
      </c>
      <c r="M13" s="2" t="inlineStr">
        <is>
          <t>H015</t>
        </is>
      </c>
      <c r="N13" s="2" t="inlineStr">
        <is>
          <t>1.กด "ซื้อทันที!"</t>
        </is>
      </c>
      <c r="O13" s="2" t="inlineStr">
        <is>
          <t>set `sessionStorage['checkoutProduct']`=สินค้านี้ → ไป `/checkout` ตรง (ข้าม cart)</t>
        </is>
      </c>
      <c r="P13" s="2" t="inlineStr">
        <is>
          <t>`ProductButton:88-102`</t>
        </is>
      </c>
      <c r="Q13" s="2" t="inlineStr">
        <is>
          <t>ต่างจาก add-to-cart</t>
        </is>
      </c>
    </row>
    <row r="14" ht="45" customHeight="1">
      <c r="A14" s="2" t="inlineStr">
        <is>
          <t>TC-PDP-05</t>
        </is>
      </c>
      <c r="B14" s="2" t="inlineStr">
        <is>
          <t>Product Detail</t>
        </is>
      </c>
      <c r="C14" s="2" t="inlineStr">
        <is>
          <t>PDP</t>
        </is>
      </c>
      <c r="D14" s="2" t="inlineStr">
        <is>
          <t>สั่งไม่ได้</t>
        </is>
      </c>
      <c r="E14" s="2" t="inlineStr">
        <is>
          <t>UI</t>
        </is>
      </c>
      <c r="F14" s="2" t="inlineStr">
        <is>
          <t>Negative</t>
        </is>
      </c>
      <c r="G14" s="5" t="inlineStr">
        <is>
          <t>Medium</t>
        </is>
      </c>
      <c r="H14" s="2" t="inlineStr">
        <is>
          <t>Not Started</t>
        </is>
      </c>
      <c r="I14" s="2" t="inlineStr"/>
      <c r="J14" s="2" t="inlineStr"/>
      <c r="K14" s="2" t="inlineStr"/>
      <c r="L14" s="2" t="inlineStr">
        <is>
          <t>TD-04</t>
        </is>
      </c>
      <c r="M14" s="2" t="inlineStr">
        <is>
          <t>—</t>
        </is>
      </c>
      <c r="N14" s="2" t="inlineStr">
        <is>
          <t>1.เปิด PDP สินค้าสั่งไม่ได้</t>
        </is>
      </c>
      <c r="O14" s="2" t="inlineStr">
        <is>
          <t>ซ่อนปุ่ม Buy Now, แสดงลิงก์ LINE</t>
        </is>
      </c>
      <c r="P14" s="2" t="inlineStr">
        <is>
          <t>`ProductButton:131-150`</t>
        </is>
      </c>
      <c r="Q14" s="2" t="inlineStr">
        <is>
          <t>—</t>
        </is>
      </c>
    </row>
    <row r="15" ht="45" customHeight="1">
      <c r="A15" s="2" t="inlineStr">
        <is>
          <t>TC-CART-01</t>
        </is>
      </c>
      <c r="B15" s="2" t="inlineStr">
        <is>
          <t>Cart</t>
        </is>
      </c>
      <c r="C15" s="2" t="inlineStr">
        <is>
          <t>Cart</t>
        </is>
      </c>
      <c r="D15" s="2" t="inlineStr">
        <is>
          <t>Empty state</t>
        </is>
      </c>
      <c r="E15" s="2" t="inlineStr">
        <is>
          <t>UI</t>
        </is>
      </c>
      <c r="F15" s="2" t="inlineStr">
        <is>
          <t>Negative</t>
        </is>
      </c>
      <c r="G15" s="5" t="inlineStr">
        <is>
          <t>Medium</t>
        </is>
      </c>
      <c r="H15" s="4" t="inlineStr">
        <is>
          <t>Script Done</t>
        </is>
      </c>
      <c r="I15" s="2" t="inlineStr">
        <is>
          <t>Yes</t>
        </is>
      </c>
      <c r="J15" s="2" t="inlineStr"/>
      <c r="K15" s="2" t="inlineStr">
        <is>
          <t>tests/checkout/TC-CART-01_empty-cart-message.robot — PASS (empty-state, RF)</t>
        </is>
      </c>
      <c r="L15" s="2" t="inlineStr">
        <is>
          <t>ตะกร้าว่าง</t>
        </is>
      </c>
      <c r="M15" s="2" t="inlineStr">
        <is>
          <t>—</t>
        </is>
      </c>
      <c r="N15" s="2" t="inlineStr">
        <is>
          <t>1.เปิด `/cart/`</t>
        </is>
      </c>
      <c r="O15" s="2" t="inlineStr">
        <is>
          <t>"- คุณยังไม่มีสินค้าในตะกร้า -"; ยอด ฿0</t>
        </is>
      </c>
      <c r="P15" s="2" t="inlineStr">
        <is>
          <t>`cart/page.tsx`, `CartItem`</t>
        </is>
      </c>
      <c r="Q15" s="2" t="inlineStr">
        <is>
          <t>ปุ่มชำระ disable = ยืนยัน</t>
        </is>
      </c>
    </row>
    <row r="16" ht="45" customHeight="1">
      <c r="A16" s="2" t="inlineStr">
        <is>
          <t>TC-CART-02-R</t>
        </is>
      </c>
      <c r="B16" s="2" t="inlineStr">
        <is>
          <t>Cart</t>
        </is>
      </c>
      <c r="C16" s="2" t="inlineStr">
        <is>
          <t>Cart</t>
        </is>
      </c>
      <c r="D16" s="2" t="inlineStr">
        <is>
          <t>เพิ่ม/ลดจำนวน</t>
        </is>
      </c>
      <c r="E16" s="2" t="inlineStr">
        <is>
          <t>UI</t>
        </is>
      </c>
      <c r="F16" s="2" t="inlineStr">
        <is>
          <t>Positive</t>
        </is>
      </c>
      <c r="G16" s="3" t="inlineStr">
        <is>
          <t>High</t>
        </is>
      </c>
      <c r="H16" s="4" t="inlineStr">
        <is>
          <t>Script Done</t>
        </is>
      </c>
      <c r="I16" s="2" t="inlineStr">
        <is>
          <t>Yes</t>
        </is>
      </c>
      <c r="J16" s="2" t="inlineStr"/>
      <c r="K16" s="2" t="inlineStr">
        <is>
          <t>tests/cart/TC-CART-02-R_qty-updates-total.robot — PASS (RF)</t>
        </is>
      </c>
      <c r="L16" s="2" t="inlineStr">
        <is>
          <t>≥1 สินค้าในตะกร้า</t>
        </is>
      </c>
      <c r="M16" s="2" t="inlineStr">
        <is>
          <t>qty 1→2→1</t>
        </is>
      </c>
      <c r="N16" s="2" t="inlineStr">
        <is>
          <t>1.กด + 2.กด − 3.ดูยอดรวม</t>
        </is>
      </c>
      <c r="O16" s="2" t="inlineStr">
        <is>
          <t>ยอด = qty×ราคา; อัปเดตทุกครั้ง</t>
        </is>
      </c>
      <c r="P16" s="2" t="inlineStr">
        <is>
          <t>`AddItemButton:39-92`</t>
        </is>
      </c>
      <c r="Q16" s="2" t="inlineStr">
        <is>
          <t>—</t>
        </is>
      </c>
    </row>
    <row r="17" ht="45" customHeight="1">
      <c r="A17" s="2" t="inlineStr">
        <is>
          <t>TC-CART-02b-R</t>
        </is>
      </c>
      <c r="B17" s="2" t="inlineStr">
        <is>
          <t>Cart</t>
        </is>
      </c>
      <c r="C17" s="2" t="inlineStr">
        <is>
          <t>Cart</t>
        </is>
      </c>
      <c r="D17" s="2" t="inlineStr">
        <is>
          <t>ลดถึง 0 → ลบ</t>
        </is>
      </c>
      <c r="E17" s="2" t="inlineStr">
        <is>
          <t>UI</t>
        </is>
      </c>
      <c r="F17" s="2" t="inlineStr">
        <is>
          <t>Boundary</t>
        </is>
      </c>
      <c r="G17" s="5" t="inlineStr">
        <is>
          <t>Medium</t>
        </is>
      </c>
      <c r="H17" s="4" t="inlineStr">
        <is>
          <t>Script Done</t>
        </is>
      </c>
      <c r="I17" s="2" t="inlineStr">
        <is>
          <t>Yes</t>
        </is>
      </c>
      <c r="J17" s="2" t="inlineStr"/>
      <c r="K17" s="2" t="inlineStr">
        <is>
          <t>tests/cart/TC-CART-02b-R_last-unit-removed.robot — PASS (reduce to 0 → removed, RF)</t>
        </is>
      </c>
      <c r="L17" s="2" t="inlineStr">
        <is>
          <t>มี 1 สินค้า qty=1</t>
        </is>
      </c>
      <c r="M17" s="2" t="inlineStr">
        <is>
          <t>—</t>
        </is>
      </c>
      <c r="N17" s="2" t="inlineStr">
        <is>
          <t>1.กด − ตอน qty=1</t>
        </is>
      </c>
      <c r="O17" s="2" t="inlineStr">
        <is>
          <t>ลบสินค้า + toast "ลบสินค้าออกจากตะกร้า"</t>
        </is>
      </c>
      <c r="P17" s="2" t="inlineStr">
        <is>
          <t>`AddItemButton:69-81`</t>
        </is>
      </c>
      <c r="Q17" s="2" t="inlineStr">
        <is>
          <t>—</t>
        </is>
      </c>
    </row>
    <row r="18" ht="45" customHeight="1">
      <c r="A18" s="2" t="inlineStr">
        <is>
          <t>TC-CART-03-R</t>
        </is>
      </c>
      <c r="B18" s="2" t="inlineStr">
        <is>
          <t>Cart</t>
        </is>
      </c>
      <c r="C18" s="2" t="inlineStr">
        <is>
          <t>Cart</t>
        </is>
      </c>
      <c r="D18" s="2" t="inlineStr">
        <is>
          <t>persist (guest)</t>
        </is>
      </c>
      <c r="E18" s="2" t="inlineStr">
        <is>
          <t>UI</t>
        </is>
      </c>
      <c r="F18" s="2" t="inlineStr">
        <is>
          <t>Regression</t>
        </is>
      </c>
      <c r="G18" s="5" t="inlineStr">
        <is>
          <t>Medium</t>
        </is>
      </c>
      <c r="H18" s="2" t="inlineStr">
        <is>
          <t>Not Started</t>
        </is>
      </c>
      <c r="I18" s="2" t="inlineStr"/>
      <c r="J18" s="2" t="inlineStr"/>
      <c r="K18" s="2" t="inlineStr"/>
      <c r="L18" s="2" t="inlineStr">
        <is>
          <t>guest, มีสินค้า</t>
        </is>
      </c>
      <c r="M18" s="2" t="inlineStr">
        <is>
          <t>—</t>
        </is>
      </c>
      <c r="N18" s="2" t="inlineStr">
        <is>
          <t>1.เพิ่มสินค้า 2.refresh</t>
        </is>
      </c>
      <c r="O18" s="2" t="inlineStr">
        <is>
          <t>คงอยู่ใน `localStorage['cart']`</t>
        </is>
      </c>
      <c r="P18" s="2" t="inlineStr">
        <is>
          <t>`storage.ts:71-84`</t>
        </is>
      </c>
      <c r="Q18" s="2" t="inlineStr">
        <is>
          <t>—</t>
        </is>
      </c>
    </row>
    <row r="19" ht="45" customHeight="1">
      <c r="A19" s="2" t="inlineStr">
        <is>
          <t>TC-CART-04</t>
        </is>
      </c>
      <c r="B19" s="2" t="inlineStr">
        <is>
          <t>Cart</t>
        </is>
      </c>
      <c r="C19" s="2" t="inlineStr">
        <is>
          <t>Cart</t>
        </is>
      </c>
      <c r="D19" s="2" t="inlineStr">
        <is>
          <t>ไป Checkout</t>
        </is>
      </c>
      <c r="E19" s="2" t="inlineStr">
        <is>
          <t>UI</t>
        </is>
      </c>
      <c r="F19" s="2" t="inlineStr">
        <is>
          <t>Positive</t>
        </is>
      </c>
      <c r="G19" s="3" t="inlineStr">
        <is>
          <t>High</t>
        </is>
      </c>
      <c r="H19" s="2" t="inlineStr">
        <is>
          <t>Script Done</t>
        </is>
      </c>
      <c r="I19" s="2" t="inlineStr">
        <is>
          <t>Yes</t>
        </is>
      </c>
      <c r="J19" s="2" t="inlineStr"/>
      <c r="K19" s="2" t="inlineStr">
        <is>
          <t>tests/cart/TC-CART-03_proceed-to-checkout.robot — PASS (RF; robot tag TC-CART-03)</t>
        </is>
      </c>
      <c r="L19" s="2" t="inlineStr">
        <is>
          <t>มีสินค้า (กทม.)</t>
        </is>
      </c>
      <c r="M19" s="2" t="inlineStr">
        <is>
          <t>—</t>
        </is>
      </c>
      <c r="N19" s="2" t="inlineStr">
        <is>
          <t>1.กดปุ่มไปชำระเงิน</t>
        </is>
      </c>
      <c r="O19" s="2" t="inlineStr">
        <is>
          <t>ไป `/checkout` พร้อมสรุปยอด</t>
        </is>
      </c>
      <c r="P19" s="2" t="inlineStr">
        <is>
          <t>`ProductButton:88-102`</t>
        </is>
      </c>
      <c r="Q19" s="2" t="inlineStr">
        <is>
          <t>critical</t>
        </is>
      </c>
    </row>
    <row r="20" ht="45" customHeight="1">
      <c r="A20" s="2" t="inlineStr">
        <is>
          <t>TC-CART-05-R</t>
        </is>
      </c>
      <c r="B20" s="2" t="inlineStr">
        <is>
          <t>Cart</t>
        </is>
      </c>
      <c r="C20" s="2" t="inlineStr">
        <is>
          <t>Checkout</t>
        </is>
      </c>
      <c r="D20" s="2" t="inlineStr">
        <is>
          <t>ต่างจังหวัด → LINE</t>
        </is>
      </c>
      <c r="E20" s="2" t="inlineStr">
        <is>
          <t>UI</t>
        </is>
      </c>
      <c r="F20" s="2" t="inlineStr">
        <is>
          <t>Negative</t>
        </is>
      </c>
      <c r="G20" s="5" t="inlineStr">
        <is>
          <t>Medium</t>
        </is>
      </c>
      <c r="H20" s="2" t="inlineStr">
        <is>
          <t>Not Started</t>
        </is>
      </c>
      <c r="I20" s="2" t="inlineStr"/>
      <c r="J20" s="2" t="inlineStr"/>
      <c r="K20" s="2" t="inlineStr"/>
      <c r="L20" s="2" t="inlineStr">
        <is>
          <t>มีสินค้า, อยู่ checkout</t>
        </is>
      </c>
      <c r="M20" s="2" t="inlineStr">
        <is>
          <t>TD-15</t>
        </is>
      </c>
      <c r="N20" s="2" t="inlineStr">
        <is>
          <t>1.เลือกวัดนอก 6 จังหวัด</t>
        </is>
      </c>
      <c r="O20" s="2" t="inlineStr">
        <is>
          <t>disable ปุ่มชำระ + modal นำไป LINE</t>
        </is>
      </c>
      <c r="P20" s="2" t="inlineStr">
        <is>
          <t>`CheckoutForm:onChangeWat:248`</t>
        </is>
      </c>
      <c r="Q20" s="2" t="inlineStr">
        <is>
          <t>แก้ trigger ให้ตรง flow</t>
        </is>
      </c>
    </row>
    <row r="21" ht="45" customHeight="1">
      <c r="A21" s="2" t="inlineStr">
        <is>
          <t>TC-CART-06</t>
        </is>
      </c>
      <c r="B21" s="2" t="inlineStr">
        <is>
          <t>Cart</t>
        </is>
      </c>
      <c r="C21" s="2" t="inlineStr">
        <is>
          <t>Cart</t>
        </is>
      </c>
      <c r="D21" s="2" t="inlineStr">
        <is>
          <t>เกิน 10 ชิ้น</t>
        </is>
      </c>
      <c r="E21" s="2" t="inlineStr">
        <is>
          <t>UI</t>
        </is>
      </c>
      <c r="F21" s="2" t="inlineStr">
        <is>
          <t>Boundary</t>
        </is>
      </c>
      <c r="G21" s="3" t="inlineStr">
        <is>
          <t>High</t>
        </is>
      </c>
      <c r="H21" s="4" t="inlineStr">
        <is>
          <t>Script Done</t>
        </is>
      </c>
      <c r="I21" s="2" t="inlineStr">
        <is>
          <t>Yes</t>
        </is>
      </c>
      <c r="J21" s="2" t="inlineStr"/>
      <c r="K21" s="2" t="inlineStr">
        <is>
          <t>tests/cart/TC-CART-06_qty-capped-at-10.robot — PASS (cap at 10, RF)</t>
        </is>
      </c>
      <c r="L21" s="2" t="inlineStr">
        <is>
          <t>ตะกร้ามี 10</t>
        </is>
      </c>
      <c r="M21" s="2" t="inlineStr">
        <is>
          <t>TD-06</t>
        </is>
      </c>
      <c r="N21" s="2" t="inlineStr">
        <is>
          <t>1.กด + จนรวม 11</t>
        </is>
      </c>
      <c r="O21" s="2" t="inlineStr">
        <is>
          <t>แสดง modal, จำกัดไม่เกิน 10</t>
        </is>
      </c>
      <c r="P21" s="2" t="inlineStr">
        <is>
          <t>`AddItemButton:46-52`</t>
        </is>
      </c>
      <c r="Q21" s="2" t="inlineStr">
        <is>
          <t>boundary 10/11</t>
        </is>
      </c>
    </row>
    <row r="22" ht="45" customHeight="1">
      <c r="A22" s="2" t="inlineStr">
        <is>
          <t>TC-CART-07</t>
        </is>
      </c>
      <c r="B22" s="2" t="inlineStr">
        <is>
          <t>Cart</t>
        </is>
      </c>
      <c r="C22" s="2" t="inlineStr">
        <is>
          <t>Cart</t>
        </is>
      </c>
      <c r="D22" s="2" t="inlineStr">
        <is>
          <t>guest→login sync</t>
        </is>
      </c>
      <c r="E22" s="2" t="inlineStr">
        <is>
          <t>Integration</t>
        </is>
      </c>
      <c r="F22" s="2" t="inlineStr">
        <is>
          <t>Positive</t>
        </is>
      </c>
      <c r="G22" s="5" t="inlineStr">
        <is>
          <t>Medium</t>
        </is>
      </c>
      <c r="H22" s="2" t="inlineStr">
        <is>
          <t>Not Started</t>
        </is>
      </c>
      <c r="I22" s="2" t="inlineStr"/>
      <c r="J22" s="2" t="inlineStr"/>
      <c r="K22" s="2" t="inlineStr"/>
      <c r="L22" s="2" t="inlineStr">
        <is>
          <t>guest มีของในตะกร้า</t>
        </is>
      </c>
      <c r="M22" s="2" t="inlineStr">
        <is>
          <t>TD-01→TD-02</t>
        </is>
      </c>
      <c r="N22" s="2" t="inlineStr">
        <is>
          <t>1.เพิ่มของ (guest) 2.login</t>
        </is>
      </c>
      <c r="O22" s="2" t="inlineStr">
        <is>
          <t>cart merge ไม่หาย (`synUserCart`)</t>
        </is>
      </c>
      <c r="P22" s="2" t="inlineStr">
        <is>
          <t>`cart.ts:25-48`</t>
        </is>
      </c>
      <c r="Q22" s="2" t="inlineStr">
        <is>
          <t>—</t>
        </is>
      </c>
    </row>
    <row r="23" ht="45" customHeight="1">
      <c r="A23" s="2" t="inlineStr">
        <is>
          <t>TC-CHK-01-R</t>
        </is>
      </c>
      <c r="B23" s="2" t="inlineStr">
        <is>
          <t>Checkout (Validation + Shipping + Message Card)</t>
        </is>
      </c>
      <c r="C23" s="2" t="inlineStr">
        <is>
          <t>Checkout</t>
        </is>
      </c>
      <c r="D23" s="2" t="inlineStr">
        <is>
          <t>Happy path เต็ม</t>
        </is>
      </c>
      <c r="E23" s="2" t="inlineStr">
        <is>
          <t>Integration</t>
        </is>
      </c>
      <c r="F23" s="2" t="inlineStr">
        <is>
          <t>Positive</t>
        </is>
      </c>
      <c r="G23" s="3" t="inlineStr">
        <is>
          <t>High</t>
        </is>
      </c>
      <c r="H23" s="2" t="inlineStr">
        <is>
          <t>Script Done</t>
        </is>
      </c>
      <c r="I23" s="2" t="inlineStr">
        <is>
          <t>Yes</t>
        </is>
      </c>
      <c r="J23" s="2" t="inlineStr"/>
      <c r="K23" s="2" t="inlineStr">
        <is>
          <t>tests/e2e/TC-PAY_full-purchase-loop.robot — happy path เต็ม → /payment (RF). @createsorder: gated, skip บน PROD ถ้าไม่ตั้ง ALLOW_PROD_ORDER; บน staging สร้าง order จริง</t>
        </is>
      </c>
      <c r="L23" s="2" t="inlineStr">
        <is>
          <t>มีสินค้า, **message card ครบ**</t>
        </is>
      </c>
      <c r="M23" s="2" t="inlineStr">
        <is>
          <t>วัด+วันที่(อนาคต ≥4ชม)+เวลา slot+ผู้สั่ง+email+phone `08xxxxxxxx`+consent+ribbon</t>
        </is>
      </c>
      <c r="N23" s="2" t="inlineStr">
        <is>
          <t>1.กรอกครบ+ribbon 2.เลือกชำระ 3.กดชำระ</t>
        </is>
      </c>
      <c r="O23" s="2" t="inlineStr">
        <is>
          <t>ผ่าน → redirect `/payment/{tracking_id}` (หยุดก่อนชำระจริง)</t>
        </is>
      </c>
      <c r="P23" s="2" t="inlineStr">
        <is>
          <t>`onCreateOrder`, `OrderController:store`</t>
        </is>
      </c>
      <c r="Q23" s="2" t="inlineStr">
        <is>
          <t>critical; param payment method</t>
        </is>
      </c>
    </row>
    <row r="24" ht="45" customHeight="1">
      <c r="A24" s="2" t="inlineStr">
        <is>
          <t>TC-CHK-02-R</t>
        </is>
      </c>
      <c r="B24" s="2" t="inlineStr">
        <is>
          <t>Checkout (Validation + Shipping + Message Card)</t>
        </is>
      </c>
      <c r="C24" s="2" t="inlineStr">
        <is>
          <t>Checkout</t>
        </is>
      </c>
      <c r="D24" s="2" t="inlineStr">
        <is>
          <t>required ว่าง</t>
        </is>
      </c>
      <c r="E24" s="2" t="inlineStr">
        <is>
          <t>UI</t>
        </is>
      </c>
      <c r="F24" s="2" t="inlineStr">
        <is>
          <t>Validation</t>
        </is>
      </c>
      <c r="G24" s="3" t="inlineStr">
        <is>
          <t>High</t>
        </is>
      </c>
      <c r="H24" s="2" t="inlineStr">
        <is>
          <t>Not Started</t>
        </is>
      </c>
      <c r="I24" s="2" t="inlineStr"/>
      <c r="J24" s="2" t="inlineStr"/>
      <c r="K24" s="2" t="inlineStr"/>
      <c r="L24" s="2" t="inlineStr">
        <is>
          <t>กรอกเกือบครบ</t>
        </is>
      </c>
      <c r="M24" s="2" t="inlineStr">
        <is>
          <t>param: wat, delivery_date, delivery_time, deceased/ศาลา/เบอร์, ผู้สั่ง, email, phone, ribbon</t>
        </is>
      </c>
      <c r="N24" s="2" t="inlineStr">
        <is>
          <t>1.เว้นทีละช่อง 2.กดชำระ</t>
        </is>
      </c>
      <c r="O24" s="2" t="inlineStr">
        <is>
          <t>block submit + error ใต้ช่อง</t>
        </is>
      </c>
      <c r="P24" s="2" t="inlineStr">
        <is>
          <t>`validation/checkout.ts`, `getValidationErrors`</t>
        </is>
      </c>
      <c r="Q24" s="2" t="inlineStr">
        <is>
          <t>parameterize</t>
        </is>
      </c>
    </row>
    <row r="25" ht="45" customHeight="1">
      <c r="A25" s="2" t="inlineStr">
        <is>
          <t>TC-CHK-03</t>
        </is>
      </c>
      <c r="B25" s="2" t="inlineStr">
        <is>
          <t>Checkout (Validation + Shipping + Message Card)</t>
        </is>
      </c>
      <c r="C25" s="2" t="inlineStr">
        <is>
          <t>Checkout</t>
        </is>
      </c>
      <c r="D25" s="2" t="inlineStr">
        <is>
          <t>email</t>
        </is>
      </c>
      <c r="E25" s="2" t="inlineStr">
        <is>
          <t>UI</t>
        </is>
      </c>
      <c r="F25" s="2" t="inlineStr">
        <is>
          <t>Validation</t>
        </is>
      </c>
      <c r="G25" s="3" t="inlineStr">
        <is>
          <t>High</t>
        </is>
      </c>
      <c r="H25" s="2" t="inlineStr">
        <is>
          <t>Not Started</t>
        </is>
      </c>
      <c r="I25" s="2" t="inlineStr"/>
      <c r="J25" s="2" t="inlineStr"/>
      <c r="K25" s="2" t="inlineStr"/>
      <c r="L25" s="2" t="inlineStr">
        <is>
          <t>อยู่ checkout</t>
        </is>
      </c>
      <c r="M25" s="2" t="inlineStr">
        <is>
          <t>valid:`a@b.com`,`a.b+c@sub.co.th` / invalid:`abc`,`abc@`,`@x.com`</t>
        </is>
      </c>
      <c r="N25" s="2" t="inlineStr">
        <is>
          <t>1.กรอกอีเมล 2.blur/submit</t>
        </is>
      </c>
      <c r="O25" s="2" t="inlineStr">
        <is>
          <t>invalid reject; valid ผ่าน</t>
        </is>
      </c>
      <c r="P25" s="2" t="inlineStr">
        <is>
          <t>`validation/checkout.ts` yup `.email()`</t>
        </is>
      </c>
      <c r="Q25" s="2" t="inlineStr">
        <is>
          <t>parameterize</t>
        </is>
      </c>
    </row>
    <row r="26" ht="45" customHeight="1">
      <c r="A26" s="2" t="inlineStr">
        <is>
          <t>TC-CHK-04-UI</t>
        </is>
      </c>
      <c r="B26" s="2" t="inlineStr">
        <is>
          <t>Checkout (Validation + Shipping + Message Card)</t>
        </is>
      </c>
      <c r="C26" s="2" t="inlineStr">
        <is>
          <t>Checkout</t>
        </is>
      </c>
      <c r="D26" s="2" t="inlineStr">
        <is>
          <t>phone (FE)</t>
        </is>
      </c>
      <c r="E26" s="2" t="inlineStr">
        <is>
          <t>UI</t>
        </is>
      </c>
      <c r="F26" s="2" t="inlineStr">
        <is>
          <t>Validation</t>
        </is>
      </c>
      <c r="G26" s="3" t="inlineStr">
        <is>
          <t>High</t>
        </is>
      </c>
      <c r="H26" s="2" t="inlineStr">
        <is>
          <t>Not Started</t>
        </is>
      </c>
      <c r="I26" s="2" t="inlineStr"/>
      <c r="J26" s="2" t="inlineStr"/>
      <c r="K26" s="2" t="inlineStr"/>
      <c r="L26" s="2" t="inlineStr">
        <is>
          <t>อยู่ checkout</t>
        </is>
      </c>
      <c r="M26" s="2" t="inlineStr">
        <is>
          <t>`0812345678`(ผ่าน), `+66...`(reject)</t>
        </is>
      </c>
      <c r="N26" s="2" t="inlineStr">
        <is>
          <t>1.กรอก 2.blur/submit</t>
        </is>
      </c>
      <c r="O26" s="2" t="inlineStr">
        <is>
          <t>FE: เฉพาะ `^0\d{9}$` ผ่าน</t>
        </is>
      </c>
      <c r="P26" s="2" t="inlineStr">
        <is>
          <t>`validation/checkout.ts:customer_phone_number`</t>
        </is>
      </c>
      <c r="Q26" s="2" t="inlineStr">
        <is>
          <t>คู่กับ -API</t>
        </is>
      </c>
    </row>
    <row r="27" ht="45" customHeight="1">
      <c r="A27" s="2" t="inlineStr">
        <is>
          <t>TC-CHK-04-API</t>
        </is>
      </c>
      <c r="B27" s="2" t="inlineStr">
        <is>
          <t>Checkout (Validation + Shipping + Message Card)</t>
        </is>
      </c>
      <c r="C27" s="2" t="inlineStr">
        <is>
          <t>Checkout</t>
        </is>
      </c>
      <c r="D27" s="2" t="inlineStr">
        <is>
          <t>phone (BE)</t>
        </is>
      </c>
      <c r="E27" s="2" t="inlineStr">
        <is>
          <t>API</t>
        </is>
      </c>
      <c r="F27" s="2" t="inlineStr">
        <is>
          <t>FE/BE Inconsistency</t>
        </is>
      </c>
      <c r="G27" s="3" t="inlineStr">
        <is>
          <t>High</t>
        </is>
      </c>
      <c r="H27" s="2" t="inlineStr">
        <is>
          <t>Not Started</t>
        </is>
      </c>
      <c r="I27" s="2" t="inlineStr"/>
      <c r="J27" s="2" t="inlineStr"/>
      <c r="K27" s="2" t="inlineStr"/>
      <c r="L27" s="2" t="inlineStr">
        <is>
          <t>—</t>
        </is>
      </c>
      <c r="M27" s="2" t="inlineStr">
        <is>
          <t>`+66812345678`, `02xxxxxxx`</t>
        </is>
      </c>
      <c r="N27" s="2" t="inlineStr">
        <is>
          <t>1.POST `/api/order` ตรง</t>
        </is>
      </c>
      <c r="O27" s="2" t="inlineStr">
        <is>
          <t>**BE รับ +66/เบอร์บ้าน** (regex กว้างกว่า FE) → inconsistency</t>
        </is>
      </c>
      <c r="P27" s="2" t="inlineStr">
        <is>
          <t>`OrderController:store:customer.phone_number`</t>
        </is>
      </c>
      <c r="Q27" s="2" t="inlineStr">
        <is>
          <t>risk RSK-02</t>
        </is>
      </c>
    </row>
    <row r="28" ht="45" customHeight="1">
      <c r="A28" s="2" t="inlineStr">
        <is>
          <t>TC-CHK-05-UI</t>
        </is>
      </c>
      <c r="B28" s="2" t="inlineStr">
        <is>
          <t>Checkout (Validation + Shipping + Message Card)</t>
        </is>
      </c>
      <c r="C28" s="2" t="inlineStr">
        <is>
          <t>Checkout</t>
        </is>
      </c>
      <c r="D28" s="2" t="inlineStr">
        <is>
          <t>consent (FE)</t>
        </is>
      </c>
      <c r="E28" s="2" t="inlineStr">
        <is>
          <t>UI</t>
        </is>
      </c>
      <c r="F28" s="2" t="inlineStr">
        <is>
          <t>Negative</t>
        </is>
      </c>
      <c r="G28" s="3" t="inlineStr">
        <is>
          <t>High</t>
        </is>
      </c>
      <c r="H28" s="4" t="inlineStr">
        <is>
          <t>Script Done</t>
        </is>
      </c>
      <c r="I28" s="2" t="inlineStr">
        <is>
          <t>Yes</t>
        </is>
      </c>
      <c r="J28" s="2" t="inlineStr"/>
      <c r="K28" s="3" t="inlineStr">
        <is>
          <t>tests/checkout/TC-CHK-05-UI_consent-gate.robot — DEFECT RSK-01/TC-SEC-01: Skip until consent enforced (RF)</t>
        </is>
      </c>
      <c r="L28" s="2" t="inlineStr">
        <is>
          <t>กรอกครบ ไม่ติ๊ก consent</t>
        </is>
      </c>
      <c r="M28" s="2" t="inlineStr">
        <is>
          <t>—</t>
        </is>
      </c>
      <c r="N28" s="2" t="inlineStr">
        <is>
          <t>1.ไม่ติ๊ก 2.กดชำระ</t>
        </is>
      </c>
      <c r="O28" s="2" t="inlineStr">
        <is>
          <t>FE block + แจ้งยอมรับนโยบาย</t>
        </is>
      </c>
      <c r="P28" s="2" t="inlineStr">
        <is>
          <t>`privacy_policy_accepted` (yup)</t>
        </is>
      </c>
      <c r="Q28" s="2" t="inlineStr">
        <is>
          <t>คู่กับ SEC-01</t>
        </is>
      </c>
    </row>
    <row r="29" ht="45" customHeight="1">
      <c r="A29" s="2" t="inlineStr">
        <is>
          <t>TC-CHK-06-R</t>
        </is>
      </c>
      <c r="B29" s="2" t="inlineStr">
        <is>
          <t>Checkout (Validation + Shipping + Message Card)</t>
        </is>
      </c>
      <c r="C29" s="2" t="inlineStr">
        <is>
          <t>Checkout</t>
        </is>
      </c>
      <c r="D29" s="2" t="inlineStr">
        <is>
          <t>คำนวณยอด</t>
        </is>
      </c>
      <c r="E29" s="2" t="inlineStr">
        <is>
          <t>Integration</t>
        </is>
      </c>
      <c r="F29" s="2" t="inlineStr">
        <is>
          <t>Positive</t>
        </is>
      </c>
      <c r="G29" s="2" t="inlineStr"/>
      <c r="H29" s="2" t="inlineStr">
        <is>
          <t>Not Started</t>
        </is>
      </c>
      <c r="I29" s="2" t="inlineStr"/>
      <c r="J29" s="2" t="inlineStr"/>
      <c r="K29" s="2" t="inlineStr"/>
      <c r="L29" s="2" t="inlineStr">
        <is>
          <t>2-3 สินค้า, login (ถ้าใช้คูปอง)</t>
        </is>
      </c>
      <c r="M29" s="2" t="inlineStr">
        <is>
          <t>สินค้าราคาต่าง + coupon</t>
        </is>
      </c>
      <c r="N29" s="2" t="inlineStr">
        <is>
          <t>1.ดู subtotal 2.ค่าส่ง 3.coupon 4.grand total</t>
        </is>
      </c>
      <c r="O29" s="2" t="inlineStr">
        <is>
          <t>ยอดจาก `/order/total-payment`: total=(สินค้า+ส่ง−ลด); กทม.ส่งฟรี</t>
        </is>
      </c>
      <c r="P29" s="2" t="inlineStr">
        <is>
          <t>`get_total_payment:~1610`</t>
        </is>
      </c>
      <c r="Q29" s="2" t="inlineStr">
        <is>
          <t>—</t>
        </is>
      </c>
    </row>
    <row r="30" ht="45" customHeight="1">
      <c r="A30" s="2" t="inlineStr">
        <is>
          <t>TC-CHK-08-R</t>
        </is>
      </c>
      <c r="B30" s="2" t="inlineStr">
        <is>
          <t>Checkout (Validation + Shipping + Message Card)</t>
        </is>
      </c>
      <c r="C30" s="2" t="inlineStr">
        <is>
          <t>Checkout</t>
        </is>
      </c>
      <c r="D30" s="2" t="inlineStr">
        <is>
          <t>boundary ข้อความ</t>
        </is>
      </c>
      <c r="E30" s="2" t="inlineStr">
        <is>
          <t>UI/API</t>
        </is>
      </c>
      <c r="F30" s="2" t="inlineStr">
        <is>
          <t>Boundary</t>
        </is>
      </c>
      <c r="G30" s="5" t="inlineStr">
        <is>
          <t>Medium</t>
        </is>
      </c>
      <c r="H30" s="2" t="inlineStr">
        <is>
          <t>Not Started</t>
        </is>
      </c>
      <c r="I30" s="2" t="inlineStr"/>
      <c r="J30" s="2" t="inlineStr"/>
      <c r="K30" s="2" t="inlineStr"/>
      <c r="L30" s="2" t="inlineStr">
        <is>
          <t>อยู่ checkout</t>
        </is>
      </c>
      <c r="M30" s="2" t="inlineStr">
        <is>
          <t>"ก"×255 / ×256 / emoji / เว้นหน้า-หลัง</t>
        </is>
      </c>
      <c r="N30" s="2" t="inlineStr">
        <is>
          <t>1.กรอกศาลา/ป้าย 2.submit</t>
        </is>
      </c>
      <c r="O30" s="2" t="inlineStr">
        <is>
          <t>≤255 ผ่าน; &gt;255 reject "ยาวได้สูงสุด 255"; trim</t>
        </is>
      </c>
      <c r="P30" s="2" t="inlineStr">
        <is>
          <t>`OrderController:store` max:255</t>
        </is>
      </c>
      <c r="Q30" s="2" t="inlineStr">
        <is>
          <t>parameterize</t>
        </is>
      </c>
    </row>
    <row r="31" ht="45" customHeight="1">
      <c r="A31" s="2" t="inlineStr">
        <is>
          <t>TC-PDP-04-R</t>
        </is>
      </c>
      <c r="B31" s="2" t="inlineStr">
        <is>
          <t>Checkout (Validation + Shipping + Message Card)</t>
        </is>
      </c>
      <c r="C31" s="2" t="inlineStr">
        <is>
          <t>Checkout</t>
        </is>
      </c>
      <c r="D31" s="2" t="inlineStr">
        <is>
          <t>ข้อความริบบิ้น (มีจริง)</t>
        </is>
      </c>
      <c r="E31" s="2" t="inlineStr">
        <is>
          <t>UI</t>
        </is>
      </c>
      <c r="F31" s="2" t="inlineStr">
        <is>
          <t>Validation</t>
        </is>
      </c>
      <c r="G31" s="3" t="inlineStr">
        <is>
          <t>High</t>
        </is>
      </c>
      <c r="H31" s="4" t="inlineStr">
        <is>
          <t>Script Done</t>
        </is>
      </c>
      <c r="I31" s="2" t="inlineStr">
        <is>
          <t>Yes</t>
        </is>
      </c>
      <c r="J31" s="2" t="inlineStr"/>
      <c r="K31" s="2" t="inlineStr">
        <is>
          <t>tests/checkout/TC-PDP-04-R_ribbon-persists.robot — PASS (ribbon @checkout, DEF-003 closed, RF)</t>
        </is>
      </c>
      <c r="L31" s="2" t="inlineStr">
        <is>
          <t>มีสินค้า, อยู่ /checkout</t>
        </is>
      </c>
      <c r="M31" s="2" t="inlineStr">
        <is>
          <t>"ด้วยรักและอาลัย"</t>
        </is>
      </c>
      <c r="N31" s="2" t="inlineStr">
        <is>
          <t>1.เปิด MessageCard modal 2.กรอก attachedMessage1 3.บันทึก</t>
        </is>
      </c>
      <c r="O31" s="2" t="inlineStr">
        <is>
          <t>ช่องริบบิ้น **มีจริงที่ Checkout**; เก็บ `localStorage['messageCardModal-{n}-{code}']`; ส่งเป็น `attached_message_1`</t>
        </is>
      </c>
      <c r="P31" s="2" t="inlineStr">
        <is>
          <t>`MessageCardModal`, `validateMessageCards:38`</t>
        </is>
      </c>
      <c r="Q31" s="2" t="inlineStr">
        <is>
          <t>**ปิด DEF-003 (assumption ผิด)**</t>
        </is>
      </c>
    </row>
    <row r="32" ht="45" customHeight="1">
      <c r="A32" s="2" t="inlineStr">
        <is>
          <t>TC-CHK-09</t>
        </is>
      </c>
      <c r="B32" s="2" t="inlineStr">
        <is>
          <t>Checkout (Validation + Shipping + Message Card)</t>
        </is>
      </c>
      <c r="C32" s="2" t="inlineStr">
        <is>
          <t>Checkout</t>
        </is>
      </c>
      <c r="D32" s="2" t="inlineStr">
        <is>
          <t>delivery อดีต</t>
        </is>
      </c>
      <c r="E32" s="2" t="inlineStr">
        <is>
          <t>API/UI</t>
        </is>
      </c>
      <c r="F32" s="2" t="inlineStr">
        <is>
          <t>Negative</t>
        </is>
      </c>
      <c r="G32" s="3" t="inlineStr">
        <is>
          <t>High</t>
        </is>
      </c>
      <c r="H32" s="2" t="inlineStr">
        <is>
          <t>Script Done</t>
        </is>
      </c>
      <c r="I32" s="2" t="inlineStr">
        <is>
          <t>Yes</t>
        </is>
      </c>
      <c r="J32" s="2" t="inlineStr"/>
      <c r="K32" s="2" t="inlineStr">
        <is>
          <t>tests/checkout_rules/TC-CHK-09_delivery-past-rejected.robot — PASS</t>
        </is>
      </c>
      <c r="L32" s="2" t="inlineStr">
        <is>
          <t>มีสินค้า, เลือกวัด</t>
        </is>
      </c>
      <c r="M32" s="2" t="inlineStr">
        <is>
          <t>delivery_date=เมื่อวาน, time=12:00</t>
        </is>
      </c>
      <c r="N32" s="2" t="inlineStr">
        <is>
          <t>1.กรอกวัน-เวลาอดีต 2.กดชำระ/POST order</t>
        </is>
      </c>
      <c r="O32" s="2" t="inlineStr">
        <is>
          <t>reject "ไม่สามารถย้อนเวลาไปส่งให้ในอดีตได้..."</t>
        </is>
      </c>
      <c r="P32" s="2" t="inlineStr">
        <is>
          <t>`Rules/PossibleDeliveryDateTime.php:22-26`</t>
        </is>
      </c>
      <c r="Q32" s="2" t="inlineStr">
        <is>
          <t>—</t>
        </is>
      </c>
    </row>
    <row r="33" ht="45" customHeight="1">
      <c r="A33" s="2" t="inlineStr">
        <is>
          <t>TC-CHK-10</t>
        </is>
      </c>
      <c r="B33" s="2" t="inlineStr">
        <is>
          <t>Checkout (Validation + Shipping + Message Card)</t>
        </is>
      </c>
      <c r="C33" s="2" t="inlineStr">
        <is>
          <t>Checkout</t>
        </is>
      </c>
      <c r="D33" s="2" t="inlineStr">
        <is>
          <t>delivery &lt; 4 ชม.</t>
        </is>
      </c>
      <c r="E33" s="2" t="inlineStr">
        <is>
          <t>API/UI</t>
        </is>
      </c>
      <c r="F33" s="2" t="inlineStr">
        <is>
          <t>Boundary</t>
        </is>
      </c>
      <c r="G33" s="3" t="inlineStr">
        <is>
          <t>High</t>
        </is>
      </c>
      <c r="H33" s="2" t="inlineStr">
        <is>
          <t>Blocked</t>
        </is>
      </c>
      <c r="I33" s="2" t="inlineStr">
        <is>
          <t>Partial</t>
        </is>
      </c>
      <c r="J33" s="2" t="inlineStr"/>
      <c r="K33" s="2" t="inlineStr">
        <is>
          <t>ขึ้นกับเวลาปัจจุบัน (time slot &lt;4ชม.) → flaky, รอ mock เวลา</t>
        </is>
      </c>
      <c r="L33" s="2" t="inlineStr">
        <is>
          <t>มีสินค้า, เลือกวัด</t>
        </is>
      </c>
      <c r="M33" s="2" t="inlineStr">
        <is>
          <t>now+3ชม(fail)/now+4ชม(pass)</t>
        </is>
      </c>
      <c r="N33" s="2" t="inlineStr">
        <is>
          <t>1.เลือกเวลาใกล้ 2.submit</t>
        </is>
      </c>
      <c r="O33" s="2" t="inlineStr">
        <is>
          <t>&lt;4ชม reject "...ภายใน 4 ชั่วโมง..."; =4ชม ผ่าน</t>
        </is>
      </c>
      <c r="P33" s="2" t="inlineStr">
        <is>
          <t>`PossibleDeliveryDateTime.php:29-35`</t>
        </is>
      </c>
      <c r="Q33" s="2" t="inlineStr">
        <is>
          <t>parameterize</t>
        </is>
      </c>
    </row>
    <row r="34" ht="45" customHeight="1">
      <c r="A34" s="2" t="inlineStr">
        <is>
          <t>TC-CHK-11</t>
        </is>
      </c>
      <c r="B34" s="2" t="inlineStr">
        <is>
          <t>Checkout (Validation + Shipping + Message Card)</t>
        </is>
      </c>
      <c r="C34" s="2" t="inlineStr">
        <is>
          <t>Checkout</t>
        </is>
      </c>
      <c r="D34" s="2" t="inlineStr">
        <is>
          <t>delivery &gt; 30 วัน</t>
        </is>
      </c>
      <c r="E34" s="2" t="inlineStr">
        <is>
          <t>API</t>
        </is>
      </c>
      <c r="F34" s="2" t="inlineStr">
        <is>
          <t>Boundary</t>
        </is>
      </c>
      <c r="G34" s="5" t="inlineStr">
        <is>
          <t>Medium</t>
        </is>
      </c>
      <c r="H34" s="2" t="inlineStr">
        <is>
          <t>Script Done</t>
        </is>
      </c>
      <c r="I34" s="2" t="inlineStr">
        <is>
          <t>Yes</t>
        </is>
      </c>
      <c r="J34" s="2" t="inlineStr"/>
      <c r="K34" s="2" t="inlineStr">
        <is>
          <t>tests/checkout_rules/TC-CHK-11_delivery-over-30days-rejected.robot — PASS (+30 ได้ / +31 ไม่ได้)</t>
        </is>
      </c>
      <c r="L34" s="2" t="inlineStr">
        <is>
          <t>มีสินค้า</t>
        </is>
      </c>
      <c r="M34" s="2" t="inlineStr">
        <is>
          <t>now+30วัน(pass)/now+31วัน(fail)</t>
        </is>
      </c>
      <c r="N34" s="2" t="inlineStr">
        <is>
          <t>1.เลือกวันไกล 2.submit</t>
        </is>
      </c>
      <c r="O34" s="2" t="inlineStr">
        <is>
          <t>&gt;30วัน reject "...เกิน 30 วัน"</t>
        </is>
      </c>
      <c r="P34" s="2" t="inlineStr">
        <is>
          <t>`PossibleDeliveryDateTime.php:38-44`</t>
        </is>
      </c>
      <c r="Q34" s="2" t="inlineStr">
        <is>
          <t>parameterize</t>
        </is>
      </c>
    </row>
    <row r="35" ht="45" customHeight="1">
      <c r="A35" s="2" t="inlineStr">
        <is>
          <t>TC-CHK-12</t>
        </is>
      </c>
      <c r="B35" s="2" t="inlineStr">
        <is>
          <t>Checkout (Validation + Shipping + Message Card)</t>
        </is>
      </c>
      <c r="C35" s="2" t="inlineStr">
        <is>
          <t>Checkout</t>
        </is>
      </c>
      <c r="D35" s="2" t="inlineStr">
        <is>
          <t>slug ไม่มีจริง</t>
        </is>
      </c>
      <c r="E35" s="2" t="inlineStr">
        <is>
          <t>API</t>
        </is>
      </c>
      <c r="F35" s="2" t="inlineStr">
        <is>
          <t>API Error</t>
        </is>
      </c>
      <c r="G35" s="3" t="inlineStr">
        <is>
          <t>High</t>
        </is>
      </c>
      <c r="H35" s="2" t="inlineStr">
        <is>
          <t>Blocked</t>
        </is>
      </c>
      <c r="I35" s="2" t="inlineStr">
        <is>
          <t>Partial</t>
        </is>
      </c>
      <c r="J35" s="2" t="inlineStr"/>
      <c r="K35" s="2" t="inlineStr">
        <is>
          <t>API-level: POST /api/order payload — รอเปิด RequestsLibrary</t>
        </is>
      </c>
      <c r="L35" s="2" t="inlineStr">
        <is>
          <t>—</t>
        </is>
      </c>
      <c r="M35" s="2" t="inlineStr">
        <is>
          <t>TD-05</t>
        </is>
      </c>
      <c r="N35" s="2" t="inlineStr">
        <is>
          <t>1.แก้ payload/sessionStorage 2.POST `/api/order`</t>
        </is>
      </c>
      <c r="O35" s="2" t="inlineStr">
        <is>
          <t>reject "ไม่พบสินค้าตาม slug ... ในตะกร้า"</t>
        </is>
      </c>
      <c r="P35" s="2" t="inlineStr">
        <is>
          <t>`Rules/ProductSlugExists.php:20-31`</t>
        </is>
      </c>
      <c r="Q35" s="2" t="inlineStr">
        <is>
          <t>—</t>
        </is>
      </c>
    </row>
    <row r="36" ht="45" customHeight="1">
      <c r="A36" s="2" t="inlineStr">
        <is>
          <t>TC-CHK-13</t>
        </is>
      </c>
      <c r="B36" s="2" t="inlineStr">
        <is>
          <t>Checkout (Validation + Shipping + Message Card)</t>
        </is>
      </c>
      <c r="C36" s="2" t="inlineStr">
        <is>
          <t>Checkout</t>
        </is>
      </c>
      <c r="D36" s="2" t="inlineStr">
        <is>
          <t>ป้ายน้อยกว่าจำนวน</t>
        </is>
      </c>
      <c r="E36" s="2" t="inlineStr">
        <is>
          <t>API/UI</t>
        </is>
      </c>
      <c r="F36" s="2" t="inlineStr">
        <is>
          <t>Validation</t>
        </is>
      </c>
      <c r="G36" s="3" t="inlineStr">
        <is>
          <t>High</t>
        </is>
      </c>
      <c r="H36" s="2" t="inlineStr">
        <is>
          <t>Script Done</t>
        </is>
      </c>
      <c r="I36" s="2" t="inlineStr">
        <is>
          <t>Yes</t>
        </is>
      </c>
      <c r="J36" s="2" t="inlineStr"/>
      <c r="K36" s="2" t="inlineStr">
        <is>
          <t>tests/checkout_rules/TC-CHK-13_message-card-count.robot — PASS</t>
        </is>
      </c>
      <c r="L36" s="2" t="inlineStr">
        <is>
          <t>สินค้า amount=2</t>
        </is>
      </c>
      <c r="M36" s="2" t="inlineStr">
        <is>
          <t>กรอก message card 1 ใบ</t>
        </is>
      </c>
      <c r="N36" s="2" t="inlineStr">
        <is>
          <t>1.เพิ่ม 2 ชิ้น 2.กรอกป้าย 1 3.กดชำระ</t>
        </is>
      </c>
      <c r="O36" s="2" t="inlineStr">
        <is>
          <t>reject "...จำนวน 2 ชิ้น แต่ระบุข้อความ ... 1"</t>
        </is>
      </c>
      <c r="P36" s="2" t="inlineStr">
        <is>
          <t>`OrderController:store` cart.* closure</t>
        </is>
      </c>
      <c r="Q36" s="2" t="inlineStr">
        <is>
          <t>—</t>
        </is>
      </c>
    </row>
    <row r="37" ht="45" customHeight="1">
      <c r="A37" s="2" t="inlineStr">
        <is>
          <t>TC-SHIP-01</t>
        </is>
      </c>
      <c r="B37" s="2" t="inlineStr">
        <is>
          <t>Checkout (Validation + Shipping + Message Card)</t>
        </is>
      </c>
      <c r="C37" s="2" t="inlineStr">
        <is>
          <t>Shipping</t>
        </is>
      </c>
      <c r="D37" s="2" t="inlineStr">
        <is>
          <t>allow_delivery=false</t>
        </is>
      </c>
      <c r="E37" s="2" t="inlineStr">
        <is>
          <t>Integration</t>
        </is>
      </c>
      <c r="F37" s="2" t="inlineStr">
        <is>
          <t>Negative</t>
        </is>
      </c>
      <c r="G37" s="2" t="inlineStr"/>
      <c r="H37" s="2" t="inlineStr">
        <is>
          <t>Not Started</t>
        </is>
      </c>
      <c r="I37" s="2" t="inlineStr"/>
      <c r="J37" s="2" t="inlineStr"/>
      <c r="K37" s="2" t="inlineStr"/>
      <c r="L37" s="2" t="inlineStr">
        <is>
          <t>—</t>
        </is>
      </c>
      <c r="M37" s="2" t="inlineStr">
        <is>
          <t>TD-16</t>
        </is>
      </c>
      <c r="N37" s="2" t="inlineStr">
        <is>
          <t>1.เลือกวัดนั้น</t>
        </is>
      </c>
      <c r="O37" s="2" t="inlineStr">
        <is>
          <t>modal "...ติดต่อทีมบริการลูกค้า @wreathmala"</t>
        </is>
      </c>
      <c r="P37" s="2" t="inlineStr">
        <is>
          <t>`fetchDeliveryFee:~340`</t>
        </is>
      </c>
      <c r="Q37" s="2" t="inlineStr">
        <is>
          <t>ขอ location จาก dev</t>
        </is>
      </c>
    </row>
    <row r="38" ht="45" customHeight="1">
      <c r="A38" s="2" t="inlineStr">
        <is>
          <t>TC-EMPTY-01</t>
        </is>
      </c>
      <c r="B38" s="2" t="inlineStr">
        <is>
          <t>Checkout (Validation + Shipping + Message Card)</t>
        </is>
      </c>
      <c r="C38" s="2" t="inlineStr">
        <is>
          <t>Checkout</t>
        </is>
      </c>
      <c r="D38" s="2" t="inlineStr">
        <is>
          <t>/checkout ไม่มีสินค้า</t>
        </is>
      </c>
      <c r="E38" s="2" t="inlineStr">
        <is>
          <t>UI</t>
        </is>
      </c>
      <c r="F38" s="2" t="inlineStr">
        <is>
          <t>Empty State</t>
        </is>
      </c>
      <c r="G38" s="5" t="inlineStr">
        <is>
          <t>Medium</t>
        </is>
      </c>
      <c r="H38" s="4" t="inlineStr">
        <is>
          <t>Script Done</t>
        </is>
      </c>
      <c r="I38" s="2" t="inlineStr">
        <is>
          <t>Yes</t>
        </is>
      </c>
      <c r="J38" s="2" t="inlineStr"/>
      <c r="K38" s="2" t="inlineStr">
        <is>
          <t>tests/checkout/TC-EMPTY-01_checkout-empty-cart.robot — PASS (RF)</t>
        </is>
      </c>
      <c r="L38" s="2" t="inlineStr">
        <is>
          <t>ตะกร้าว่าง</t>
        </is>
      </c>
      <c r="M38" s="2" t="inlineStr">
        <is>
          <t>—</t>
        </is>
      </c>
      <c r="N38" s="2" t="inlineStr">
        <is>
          <t>1.เข้า `/checkout` ตรง</t>
        </is>
      </c>
      <c r="O38" s="2" t="inlineStr">
        <is>
          <t>จัดการ `'{}'` fallback, ไม่ crash</t>
        </is>
      </c>
      <c r="P38" s="2" t="inlineStr">
        <is>
          <t>`contexts/checkout:getProductPayload`</t>
        </is>
      </c>
      <c r="Q38" s="2" t="inlineStr">
        <is>
          <t>—</t>
        </is>
      </c>
    </row>
    <row r="39" ht="45" customHeight="1">
      <c r="A39" s="2" t="inlineStr">
        <is>
          <t>TC-LOAD-01</t>
        </is>
      </c>
      <c r="B39" s="2" t="inlineStr">
        <is>
          <t>Checkout (Validation + Shipping + Message Card)</t>
        </is>
      </c>
      <c r="C39" s="2" t="inlineStr">
        <is>
          <t>Checkout</t>
        </is>
      </c>
      <c r="D39" s="2" t="inlineStr">
        <is>
          <t>double submit</t>
        </is>
      </c>
      <c r="E39" s="2" t="inlineStr">
        <is>
          <t>UI</t>
        </is>
      </c>
      <c r="F39" s="2" t="inlineStr">
        <is>
          <t>Race Condition</t>
        </is>
      </c>
      <c r="G39" s="3" t="inlineStr">
        <is>
          <t>High</t>
        </is>
      </c>
      <c r="H39" s="2" t="inlineStr">
        <is>
          <t>Not Started</t>
        </is>
      </c>
      <c r="I39" s="2" t="inlineStr"/>
      <c r="J39" s="2" t="inlineStr"/>
      <c r="K39" s="2" t="inlineStr"/>
      <c r="L39" s="2" t="inlineStr">
        <is>
          <t>กรอกครบ</t>
        </is>
      </c>
      <c r="M39" s="2" t="inlineStr">
        <is>
          <t>—</t>
        </is>
      </c>
      <c r="N39" s="2" t="inlineStr">
        <is>
          <t>1.กดชำระเงินรัว ๆ 2 ครั้ง</t>
        </is>
      </c>
      <c r="O39" s="2" t="inlineStr">
        <is>
          <t>`isSubmitting` block ครั้งที่ 2, ไม่สร้างออเดอร์ซ้ำ</t>
        </is>
      </c>
      <c r="P39" s="2" t="inlineStr">
        <is>
          <t>`CheckoutForm:onSubmit`, `disableButton`</t>
        </is>
      </c>
      <c r="Q39" s="2" t="inlineStr">
        <is>
          <t>—</t>
        </is>
      </c>
    </row>
    <row r="40" ht="45" customHeight="1">
      <c r="A40" s="2" t="inlineStr">
        <is>
          <t>TC-PROMO-01-R</t>
        </is>
      </c>
      <c r="B40" s="2" t="inlineStr">
        <is>
          <t>Coupon / Promotion</t>
        </is>
      </c>
      <c r="C40" s="2" t="inlineStr">
        <is>
          <t>Promotion</t>
        </is>
      </c>
      <c r="D40" s="2" t="inlineStr">
        <is>
          <t>คูปองถูกต้อง</t>
        </is>
      </c>
      <c r="E40" s="2" t="inlineStr">
        <is>
          <t>Integration</t>
        </is>
      </c>
      <c r="F40" s="2" t="inlineStr">
        <is>
          <t>Positive</t>
        </is>
      </c>
      <c r="G40" s="3" t="inlineStr">
        <is>
          <t>High</t>
        </is>
      </c>
      <c r="H40" s="2" t="inlineStr">
        <is>
          <t>Blocked</t>
        </is>
      </c>
      <c r="I40" s="2" t="inlineStr">
        <is>
          <t>Yes</t>
        </is>
      </c>
      <c r="J40" s="2" t="inlineStr"/>
      <c r="K40" s="2" t="inlineStr">
        <is>
          <t>รอ valid code ที่ loginUser ยังไม่เคยใช้ (QA-Coupon-TestData-Request.md §1.1)</t>
        </is>
      </c>
      <c r="L40" s="2" t="inlineStr">
        <is>
          <t>**login (web_user_token)**, สินค้าในเขต, ยอดในช่วง min/max</t>
        </is>
      </c>
      <c r="M40" s="2" t="inlineStr">
        <is>
          <t>TD-07</t>
        </is>
      </c>
      <c r="N40" s="2" t="inlineStr">
        <is>
          <t>1.login 2.checkout 3.กรอกคูปอง 4.Apply</t>
        </is>
      </c>
      <c r="O40" s="2" t="inlineStr">
        <is>
          <t>`_infos.error=false`, ส่วนลดถูกหัก, grand total ลด</t>
        </is>
      </c>
      <c r="P40" s="2" t="inlineStr">
        <is>
          <t>`validate_coupon:1356`</t>
        </is>
      </c>
      <c r="Q40" s="2" t="inlineStr">
        <is>
          <t>ต้อง login</t>
        </is>
      </c>
    </row>
    <row r="41" ht="45" customHeight="1">
      <c r="A41" s="2" t="inlineStr">
        <is>
          <t>TC-PROMO-02-R</t>
        </is>
      </c>
      <c r="B41" s="2" t="inlineStr">
        <is>
          <t>Coupon / Promotion</t>
        </is>
      </c>
      <c r="C41" s="2" t="inlineStr">
        <is>
          <t>Promotion</t>
        </is>
      </c>
      <c r="D41" s="2" t="inlineStr">
        <is>
          <t>คูปองผิด</t>
        </is>
      </c>
      <c r="E41" s="2" t="inlineStr">
        <is>
          <t>Integration</t>
        </is>
      </c>
      <c r="F41" s="2" t="inlineStr">
        <is>
          <t>Negative</t>
        </is>
      </c>
      <c r="G41" s="3" t="inlineStr">
        <is>
          <t>High</t>
        </is>
      </c>
      <c r="H41" s="2" t="inlineStr">
        <is>
          <t>Script Done</t>
        </is>
      </c>
      <c r="I41" s="2" t="inlineStr">
        <is>
          <t>Yes</t>
        </is>
      </c>
      <c r="J41" s="2" t="inlineStr"/>
      <c r="K41" s="2" t="inlineStr">
        <is>
          <t>tests/promo/TC-PROMO-02-R_invalid-expired-coupon.robot — invalid PASS; expired(WD12) Skipped รอ codeExpired จริง</t>
        </is>
      </c>
      <c r="L41" s="2" t="inlineStr">
        <is>
          <t>login, checkout</t>
        </is>
      </c>
      <c r="M41" s="2" t="inlineStr">
        <is>
          <t>param: ไม่พบ/used/ยอด&lt;min/ยอด&gt;max</t>
        </is>
      </c>
      <c r="N41" s="2" t="inlineStr">
        <is>
          <t>1.กรอกแต่ละโค้ด 2.Apply</t>
        </is>
      </c>
      <c r="O41" s="2" t="inlineStr">
        <is>
          <t>error ตรงกรณีจริง (ไม่พบ/WM21/used)</t>
        </is>
      </c>
      <c r="P41" s="2" t="inlineStr">
        <is>
          <t>`validate_coupon`, `Controller.php:917-934`</t>
        </is>
      </c>
      <c r="Q41" s="2" t="inlineStr">
        <is>
          <t>parameterize</t>
        </is>
      </c>
    </row>
    <row r="42" ht="45" customHeight="1">
      <c r="A42" s="2" t="inlineStr">
        <is>
          <t>TC-PROMO-03-R</t>
        </is>
      </c>
      <c r="B42" s="2" t="inlineStr">
        <is>
          <t>Coupon / Promotion</t>
        </is>
      </c>
      <c r="C42" s="2" t="inlineStr">
        <is>
          <t>Promotion</t>
        </is>
      </c>
      <c r="D42" s="2" t="inlineStr">
        <is>
          <t>uppercase/ว่าง</t>
        </is>
      </c>
      <c r="E42" s="2" t="inlineStr">
        <is>
          <t>Integration</t>
        </is>
      </c>
      <c r="F42" s="2" t="inlineStr">
        <is>
          <t>Validation</t>
        </is>
      </c>
      <c r="G42" s="5" t="inlineStr">
        <is>
          <t>Medium</t>
        </is>
      </c>
      <c r="H42" s="2" t="inlineStr">
        <is>
          <t>Script Done</t>
        </is>
      </c>
      <c r="I42" s="2" t="inlineStr">
        <is>
          <t>Yes</t>
        </is>
      </c>
      <c r="J42" s="2" t="inlineStr"/>
      <c r="K42" s="2" t="inlineStr">
        <is>
          <t>tests/promo/TC-PROMO-03-R_empty-coupon-code.robot — empty PASS; sub-case lowercase รอ valid code</t>
        </is>
      </c>
      <c r="L42" s="2" t="inlineStr">
        <is>
          <t>login, checkout</t>
        </is>
      </c>
      <c r="M42" s="2" t="inlineStr">
        <is>
          <t>"abc123"(จริง ABC123), ""</t>
        </is>
      </c>
      <c r="N42" s="2" t="inlineStr">
        <is>
          <t>1.กรอก 2.Apply</t>
        </is>
      </c>
      <c r="O42" s="2" t="inlineStr">
        <is>
          <t>พิมพ์เล็กใช้ได้ (strtoupper); ว่าง→"กรุณากรอกรหัสส่วนลด"</t>
        </is>
      </c>
      <c r="P42" s="2" t="inlineStr">
        <is>
          <t>`validate_coupon:1369,1360`</t>
        </is>
      </c>
      <c r="Q42" s="2" t="inlineStr">
        <is>
          <t>—</t>
        </is>
      </c>
    </row>
    <row r="43" ht="45" customHeight="1">
      <c r="A43" s="2" t="inlineStr">
        <is>
          <t>TC-PROMO-04</t>
        </is>
      </c>
      <c r="B43" s="2" t="inlineStr">
        <is>
          <t>Coupon / Promotion</t>
        </is>
      </c>
      <c r="C43" s="2" t="inlineStr">
        <is>
          <t>Promotion</t>
        </is>
      </c>
      <c r="D43" s="2" t="inlineStr">
        <is>
          <t>guest ใส่คูปอง</t>
        </is>
      </c>
      <c r="E43" s="2" t="inlineStr">
        <is>
          <t>Integration</t>
        </is>
      </c>
      <c r="F43" s="2" t="inlineStr">
        <is>
          <t>Permission</t>
        </is>
      </c>
      <c r="G43" s="3" t="inlineStr">
        <is>
          <t>High</t>
        </is>
      </c>
      <c r="H43" s="2" t="inlineStr">
        <is>
          <t>Script Done</t>
        </is>
      </c>
      <c r="I43" s="2" t="inlineStr">
        <is>
          <t>Yes</t>
        </is>
      </c>
      <c r="J43" s="2" t="inlineStr"/>
      <c r="K43" s="2" t="inlineStr">
        <is>
          <t>tests/promo/TC-PROMO-04_guest-coupon-requires-login.robot — PASS</t>
        </is>
      </c>
      <c r="L43" s="2" t="inlineStr">
        <is>
          <t>**ไม่ login**</t>
        </is>
      </c>
      <c r="M43" s="2" t="inlineStr">
        <is>
          <t>TD-01 + coupon valid</t>
        </is>
      </c>
      <c r="N43" s="2" t="inlineStr">
        <is>
          <t>1.checkout (guest) 2.กรอกคูปอง 3.Apply</t>
        </is>
      </c>
      <c r="O43" s="2" t="inlineStr">
        <is>
          <t>"ต้องล๊อคอินเข้าสู่ระบบก่อนค่ะ"</t>
        </is>
      </c>
      <c r="P43" s="2" t="inlineStr">
        <is>
          <t>`validate_coupon:1416-1424`</t>
        </is>
      </c>
      <c r="Q43" s="2" t="inlineStr">
        <is>
          <t>—</t>
        </is>
      </c>
    </row>
    <row r="44" ht="45" customHeight="1">
      <c r="A44" s="2" t="inlineStr">
        <is>
          <t>TC-PROMO-05</t>
        </is>
      </c>
      <c r="B44" s="2" t="inlineStr">
        <is>
          <t>Coupon / Promotion</t>
        </is>
      </c>
      <c r="C44" s="2" t="inlineStr">
        <is>
          <t>Promotion</t>
        </is>
      </c>
      <c r="D44" s="2" t="inlineStr">
        <is>
          <t>ยอด &lt; discount_min</t>
        </is>
      </c>
      <c r="E44" s="2" t="inlineStr">
        <is>
          <t>API</t>
        </is>
      </c>
      <c r="F44" s="2" t="inlineStr">
        <is>
          <t>Negative</t>
        </is>
      </c>
      <c r="G44" s="3" t="inlineStr">
        <is>
          <t>High</t>
        </is>
      </c>
      <c r="H44" s="2" t="inlineStr">
        <is>
          <t>Blocked</t>
        </is>
      </c>
      <c r="I44" s="2" t="inlineStr">
        <is>
          <t>Yes</t>
        </is>
      </c>
      <c r="J44" s="2" t="inlineStr"/>
      <c r="K44" s="2" t="inlineStr">
        <is>
          <t>ยอด&lt;min ทำไม่ได้ (สินค้าถูกสุด ~1,599 &gt; min 1,000) — รอ data</t>
        </is>
      </c>
      <c r="L44" s="2" t="inlineStr">
        <is>
          <t>login, TD-10</t>
        </is>
      </c>
      <c r="M44" s="2" t="inlineStr">
        <is>
          <t>ยอด &lt; min</t>
        </is>
      </c>
      <c r="N44" s="2" t="inlineStr">
        <is>
          <t>1.Apply คูปอง</t>
        </is>
      </c>
      <c r="O44" s="2" t="inlineStr">
        <is>
          <t>WM21 "ราคารวม...ไม่สามารถประยุกต์ใช้..."</t>
        </is>
      </c>
      <c r="P44" s="2" t="inlineStr">
        <is>
          <t>`Controller.php:917-934`</t>
        </is>
      </c>
      <c r="Q44" s="2" t="inlineStr">
        <is>
          <t>—</t>
        </is>
      </c>
    </row>
    <row r="45" ht="45" customHeight="1">
      <c r="A45" s="2" t="inlineStr">
        <is>
          <t>TC-PROMO-06</t>
        </is>
      </c>
      <c r="B45" s="2" t="inlineStr">
        <is>
          <t>Coupon / Promotion</t>
        </is>
      </c>
      <c r="C45" s="2" t="inlineStr">
        <is>
          <t>Promotion</t>
        </is>
      </c>
      <c r="D45" s="2" t="inlineStr">
        <is>
          <t>ยอดพอดี min/max</t>
        </is>
      </c>
      <c r="E45" s="2" t="inlineStr">
        <is>
          <t>API</t>
        </is>
      </c>
      <c r="F45" s="2" t="inlineStr">
        <is>
          <t>Boundary</t>
        </is>
      </c>
      <c r="G45" s="5" t="inlineStr">
        <is>
          <t>Medium</t>
        </is>
      </c>
      <c r="H45" s="2" t="inlineStr">
        <is>
          <t>Blocked</t>
        </is>
      </c>
      <c r="I45" s="2" t="inlineStr">
        <is>
          <t>Yes</t>
        </is>
      </c>
      <c r="J45" s="2" t="inlineStr"/>
      <c r="K45" s="2" t="inlineStr">
        <is>
          <t>boundary min/max — รอ data + จัดยอดให้เข้าเงื่อนไข</t>
        </is>
      </c>
      <c r="L45" s="2" t="inlineStr">
        <is>
          <t>login, TD-10</t>
        </is>
      </c>
      <c r="M45" s="2" t="inlineStr">
        <is>
          <t>ยอด=min, =max</t>
        </is>
      </c>
      <c r="N45" s="2" t="inlineStr">
        <is>
          <t>1.Apply</t>
        </is>
      </c>
      <c r="O45" s="2" t="inlineStr">
        <is>
          <t>ค่าขอบพอดี **ใช้ไม่ได้** (`&gt;min &amp;&amp; &lt;max`)</t>
        </is>
      </c>
      <c r="P45" s="2" t="inlineStr">
        <is>
          <t>`Controller.php:918`</t>
        </is>
      </c>
      <c r="Q45" s="2" t="inlineStr">
        <is>
          <t>strict boundary</t>
        </is>
      </c>
    </row>
    <row r="46" ht="45" customHeight="1">
      <c r="A46" s="2" t="inlineStr">
        <is>
          <t>TC-PROMO-07</t>
        </is>
      </c>
      <c r="B46" s="2" t="inlineStr">
        <is>
          <t>Coupon / Promotion</t>
        </is>
      </c>
      <c r="C46" s="2" t="inlineStr">
        <is>
          <t>Promotion</t>
        </is>
      </c>
      <c r="D46" s="2" t="inlineStr">
        <is>
          <t>คูปองใช้ซ้ำ</t>
        </is>
      </c>
      <c r="E46" s="2" t="inlineStr">
        <is>
          <t>Integration</t>
        </is>
      </c>
      <c r="F46" s="2" t="inlineStr">
        <is>
          <t>Negative</t>
        </is>
      </c>
      <c r="G46" s="3" t="inlineStr">
        <is>
          <t>High</t>
        </is>
      </c>
      <c r="H46" s="2" t="inlineStr">
        <is>
          <t>Script Done</t>
        </is>
      </c>
      <c r="I46" s="2" t="inlineStr">
        <is>
          <t>Yes</t>
        </is>
      </c>
      <c r="J46" s="2" t="inlineStr"/>
      <c r="K46" s="2" t="inlineStr">
        <is>
          <t>tests/promo/TC-PROMO-07_used-coupon-rejected.robot — PASS (DISCOUNT10)</t>
        </is>
      </c>
      <c r="L46" s="2" t="inlineStr">
        <is>
          <t>login + เคยใช้ (TD-09)</t>
        </is>
      </c>
      <c r="M46" s="2" t="inlineStr">
        <is>
          <t>coupon used</t>
        </is>
      </c>
      <c r="N46" s="2" t="inlineStr">
        <is>
          <t>1.Apply คูปองเดิม</t>
        </is>
      </c>
      <c r="O46" s="2" t="inlineStr">
        <is>
          <t>"ท่านได้ใช้รหัสส่วนลด ... ไปแล้วค่ะ"</t>
        </is>
      </c>
      <c r="P46" s="2" t="inlineStr">
        <is>
          <t>`validate_coupon:1426-1438`</t>
        </is>
      </c>
      <c r="Q46" s="2" t="inlineStr">
        <is>
          <t>—</t>
        </is>
      </c>
    </row>
    <row r="47" ht="45" customHeight="1">
      <c r="A47" s="2" t="inlineStr">
        <is>
          <t>TC-PROMO-09</t>
        </is>
      </c>
      <c r="B47" s="2" t="inlineStr">
        <is>
          <t>Coupon / Promotion</t>
        </is>
      </c>
      <c r="C47" s="2" t="inlineStr">
        <is>
          <t>Promotion</t>
        </is>
      </c>
      <c r="D47" s="2" t="inlineStr">
        <is>
          <t>amount vs percent</t>
        </is>
      </c>
      <c r="E47" s="2" t="inlineStr">
        <is>
          <t>API</t>
        </is>
      </c>
      <c r="F47" s="2" t="inlineStr">
        <is>
          <t>Positive</t>
        </is>
      </c>
      <c r="G47" s="5" t="inlineStr">
        <is>
          <t>Medium</t>
        </is>
      </c>
      <c r="H47" s="2" t="inlineStr">
        <is>
          <t>Blocked</t>
        </is>
      </c>
      <c r="I47" s="2" t="inlineStr">
        <is>
          <t>Yes</t>
        </is>
      </c>
      <c r="J47" s="2" t="inlineStr"/>
      <c r="K47" s="2" t="inlineStr">
        <is>
          <t>amount/percent — รอ valid code ที่ apply ได้จริง</t>
        </is>
      </c>
      <c r="L47" s="2" t="inlineStr">
        <is>
          <t>login</t>
        </is>
      </c>
      <c r="M47" s="2" t="inlineStr">
        <is>
          <t>TD-11, TD-12</t>
        </is>
      </c>
      <c r="N47" s="2" t="inlineStr">
        <is>
          <t>1.Apply แต่ละแบบ ดูยอดหัก</t>
        </is>
      </c>
      <c r="O47" s="2" t="inlineStr">
        <is>
          <t>amount=บาทคงที่; percent=%×ยอด</t>
        </is>
      </c>
      <c r="P47" s="2" t="inlineStr">
        <is>
          <t>`discountAmount:1707-1770`</t>
        </is>
      </c>
      <c r="Q47" s="2" t="inlineStr">
        <is>
          <t>parameterize</t>
        </is>
      </c>
    </row>
    <row r="48" ht="45" customHeight="1">
      <c r="A48" s="2" t="inlineStr">
        <is>
          <t>TC-PROMO-10</t>
        </is>
      </c>
      <c r="B48" s="2" t="inlineStr">
        <is>
          <t>Coupon / Promotion</t>
        </is>
      </c>
      <c r="C48" s="2" t="inlineStr">
        <is>
          <t>Promotion</t>
        </is>
      </c>
      <c r="D48" s="2" t="inlineStr">
        <is>
          <t>re-validate ตอนสั่ง</t>
        </is>
      </c>
      <c r="E48" s="2" t="inlineStr">
        <is>
          <t>Integration</t>
        </is>
      </c>
      <c r="F48" s="2" t="inlineStr">
        <is>
          <t>API Error</t>
        </is>
      </c>
      <c r="G48" s="3" t="inlineStr">
        <is>
          <t>High</t>
        </is>
      </c>
      <c r="H48" s="2" t="inlineStr">
        <is>
          <t>Blocked</t>
        </is>
      </c>
      <c r="I48" s="2" t="inlineStr">
        <is>
          <t>Yes</t>
        </is>
      </c>
      <c r="J48" s="2" t="inlineStr"/>
      <c r="K48" s="2" t="inlineStr">
        <is>
          <t>re-validate ตอนกดสั่ง — รอ data + สร้าง order จริง</t>
        </is>
      </c>
      <c r="L48" s="2" t="inlineStr">
        <is>
          <t>login, สลับยอด/คูปองให้ขัด</t>
        </is>
      </c>
      <c r="M48" s="2" t="inlineStr">
        <is>
          <t>TD-07/13</t>
        </is>
      </c>
      <c r="N48" s="2" t="inlineStr">
        <is>
          <t>1.Apply ผ่าน 2.กดชำระ</t>
        </is>
      </c>
      <c r="O48" s="2" t="inlineStr">
        <is>
          <t>order reject "Error validating coupon code(WME01): ..."</t>
        </is>
      </c>
      <c r="P48" s="2" t="inlineStr">
        <is>
          <t>`OrderController:store:~320`</t>
        </is>
      </c>
      <c r="Q48" s="2" t="inlineStr">
        <is>
          <t>—</t>
        </is>
      </c>
    </row>
    <row r="49" ht="45" customHeight="1">
      <c r="A49" s="2" t="inlineStr">
        <is>
          <t>TC-AUTH-01-R</t>
        </is>
      </c>
      <c r="B49" s="2" t="inlineStr">
        <is>
          <t>Register / Auth (during checkout)</t>
        </is>
      </c>
      <c r="C49" s="2" t="inlineStr">
        <is>
          <t>Auth</t>
        </is>
      </c>
      <c r="D49" s="2" t="inlineStr">
        <is>
          <t>สมัครตอน checkout</t>
        </is>
      </c>
      <c r="E49" s="2" t="inlineStr">
        <is>
          <t>Integration</t>
        </is>
      </c>
      <c r="F49" s="2" t="inlineStr">
        <is>
          <t>Positive</t>
        </is>
      </c>
      <c r="G49" s="5" t="inlineStr">
        <is>
          <t>Medium</t>
        </is>
      </c>
      <c r="H49" s="2" t="inlineStr">
        <is>
          <t>Not Started</t>
        </is>
      </c>
      <c r="I49" s="2" t="inlineStr"/>
      <c r="J49" s="2" t="inlineStr"/>
      <c r="K49" s="2" t="inlineStr"/>
      <c r="L49" s="2" t="inlineStr">
        <is>
          <t>checkout, email ใหม่</t>
        </is>
      </c>
      <c r="M49" s="2" t="inlineStr">
        <is>
          <t>add_to_new_user=1, password ≥8</t>
        </is>
      </c>
      <c r="N49" s="2" t="inlineStr">
        <is>
          <t>1.ติ๊กสมัคร 2.ตั้ง password 3.สั่ง</t>
        </is>
      </c>
      <c r="O49" s="2" t="inlineStr">
        <is>
          <t>`register_new_web_user` สร้าง user; login ภายหลังได้</t>
        </is>
      </c>
      <c r="P49" s="2" t="inlineStr">
        <is>
          <t>`OrderController:register_new_web_user`</t>
        </is>
      </c>
      <c r="Q49" s="2" t="inlineStr">
        <is>
          <t>—</t>
        </is>
      </c>
    </row>
    <row r="50" ht="45" customHeight="1">
      <c r="A50" s="2" t="inlineStr">
        <is>
          <t>TC-AUTH-03</t>
        </is>
      </c>
      <c r="B50" s="2" t="inlineStr">
        <is>
          <t>Register / Auth (during checkout)</t>
        </is>
      </c>
      <c r="C50" s="2" t="inlineStr">
        <is>
          <t>Auth</t>
        </is>
      </c>
      <c r="D50" s="2" t="inlineStr">
        <is>
          <t>email ซ้ำตอนสมัคร</t>
        </is>
      </c>
      <c r="E50" s="2" t="inlineStr">
        <is>
          <t>API</t>
        </is>
      </c>
      <c r="F50" s="2" t="inlineStr">
        <is>
          <t>Negative</t>
        </is>
      </c>
      <c r="G50" s="3" t="inlineStr">
        <is>
          <t>High</t>
        </is>
      </c>
      <c r="H50" s="2" t="inlineStr">
        <is>
          <t>Not Started</t>
        </is>
      </c>
      <c r="I50" s="2" t="inlineStr"/>
      <c r="J50" s="2" t="inlineStr"/>
      <c r="K50" s="2" t="inlineStr"/>
      <c r="L50" s="2" t="inlineStr">
        <is>
          <t>มี email ที่ลงทะเบียนแล้ว</t>
        </is>
      </c>
      <c r="M50" s="2" t="inlineStr">
        <is>
          <t>add_to_new_user=1, email=ซ้ำ</t>
        </is>
      </c>
      <c r="N50" s="2" t="inlineStr">
        <is>
          <t>1.ติ๊กสมัคร + email ซ้ำ 2.สั่ง</t>
        </is>
      </c>
      <c r="O50" s="2" t="inlineStr">
        <is>
          <t>reject "อีเมล์แอดเดรส ... ถูกใช้ไปแล้ว"</t>
        </is>
      </c>
      <c r="P50" s="2" t="inlineStr">
        <is>
          <t>`Rules/WebUserExists::validate`</t>
        </is>
      </c>
      <c r="Q50" s="2" t="inlineStr">
        <is>
          <t>—</t>
        </is>
      </c>
    </row>
    <row r="51" ht="45" customHeight="1">
      <c r="A51" s="2" t="inlineStr">
        <is>
          <t>TC-AUTH-04</t>
        </is>
      </c>
      <c r="B51" s="2" t="inlineStr">
        <is>
          <t>Register / Auth (during checkout)</t>
        </is>
      </c>
      <c r="C51" s="2" t="inlineStr">
        <is>
          <t>Auth</t>
        </is>
      </c>
      <c r="D51" s="2" t="inlineStr">
        <is>
          <t>token ไม่ถูกต้อง</t>
        </is>
      </c>
      <c r="E51" s="2" t="inlineStr">
        <is>
          <t>API</t>
        </is>
      </c>
      <c r="F51" s="2" t="inlineStr">
        <is>
          <t>Permission</t>
        </is>
      </c>
      <c r="G51" s="3" t="inlineStr">
        <is>
          <t>High</t>
        </is>
      </c>
      <c r="H51" s="2" t="inlineStr">
        <is>
          <t>Not Started</t>
        </is>
      </c>
      <c r="I51" s="2" t="inlineStr"/>
      <c r="J51" s="2" t="inlineStr"/>
      <c r="K51" s="2" t="inlineStr"/>
      <c r="L51" s="2" t="inlineStr">
        <is>
          <t>—</t>
        </is>
      </c>
      <c r="M51" s="2" t="inlineStr">
        <is>
          <t>web_user_token ปลอม + coupon_code</t>
        </is>
      </c>
      <c r="N51" s="2" t="inlineStr">
        <is>
          <t>1.POST order ด้วย token ผิด</t>
        </is>
      </c>
      <c r="O51" s="2" t="inlineStr">
        <is>
          <t>reject "Web User Token ไม่ถูกต้อง"</t>
        </is>
      </c>
      <c r="P51" s="2" t="inlineStr">
        <is>
          <t>`WebUserExists::validToken`</t>
        </is>
      </c>
      <c r="Q51" s="2" t="inlineStr">
        <is>
          <t>—</t>
        </is>
      </c>
    </row>
    <row r="52" ht="45" customHeight="1">
      <c r="A52" s="2" t="inlineStr">
        <is>
          <t>TC-AUTH-05</t>
        </is>
      </c>
      <c r="B52" s="2" t="inlineStr">
        <is>
          <t>Register / Auth (during checkout)</t>
        </is>
      </c>
      <c r="C52" s="2" t="inlineStr">
        <is>
          <t>Auth</t>
        </is>
      </c>
      <c r="D52" s="2" t="inlineStr">
        <is>
          <t>สมัคร password สั้น/ไม่ตรง</t>
        </is>
      </c>
      <c r="E52" s="2" t="inlineStr">
        <is>
          <t>API/UI</t>
        </is>
      </c>
      <c r="F52" s="2" t="inlineStr">
        <is>
          <t>Validation</t>
        </is>
      </c>
      <c r="G52" s="5" t="inlineStr">
        <is>
          <t>Medium</t>
        </is>
      </c>
      <c r="H52" s="2" t="inlineStr">
        <is>
          <t>Not Started</t>
        </is>
      </c>
      <c r="I52" s="2" t="inlineStr"/>
      <c r="J52" s="2" t="inlineStr"/>
      <c r="K52" s="2" t="inlineStr"/>
      <c r="L52" s="2" t="inlineStr">
        <is>
          <t>checkout</t>
        </is>
      </c>
      <c r="M52" s="2" t="inlineStr">
        <is>
          <t>password="123"</t>
        </is>
      </c>
      <c r="N52" s="2" t="inlineStr">
        <is>
          <t>1.ติ๊กสมัคร + password สั้น 2.สั่ง</t>
        </is>
      </c>
      <c r="O52" s="2" t="inlineStr">
        <is>
          <t>reject "รหัสผ่านต้องยาวอย่างน้อย 8"</t>
        </is>
      </c>
      <c r="P52" s="2" t="inlineStr">
        <is>
          <t>`OrderController:store`, `CheckoutForm:502`</t>
        </is>
      </c>
      <c r="Q52" s="2" t="inlineStr">
        <is>
          <t>—</t>
        </is>
      </c>
    </row>
    <row r="53" ht="45" customHeight="1">
      <c r="A53" s="2" t="inlineStr">
        <is>
          <t>TC-PAY-01-R</t>
        </is>
      </c>
      <c r="B53" s="2" t="inlineStr">
        <is>
          <t>Payment</t>
        </is>
      </c>
      <c r="C53" s="2" t="inlineStr">
        <is>
          <t>Payment</t>
        </is>
      </c>
      <c r="D53" s="2" t="inlineStr">
        <is>
          <t>QR/โอน + แจ้งชำระ</t>
        </is>
      </c>
      <c r="E53" s="2" t="inlineStr">
        <is>
          <t>Integration</t>
        </is>
      </c>
      <c r="F53" s="2" t="inlineStr">
        <is>
          <t>Positive</t>
        </is>
      </c>
      <c r="G53" s="3" t="inlineStr">
        <is>
          <t>High</t>
        </is>
      </c>
      <c r="H53" s="2" t="inlineStr">
        <is>
          <t>Not Started</t>
        </is>
      </c>
      <c r="I53" s="2" t="inlineStr"/>
      <c r="J53" s="2" t="inlineStr"/>
      <c r="K53" s="2" t="inlineStr"/>
      <c r="L53" s="2" t="inlineStr">
        <is>
          <t>order รอชำระ (TD-20)</t>
        </is>
      </c>
      <c r="M53" s="2" t="inlineStr">
        <is>
          <t>bank_id 1-4 + สลิป (TD-23)</t>
        </is>
      </c>
      <c r="N53" s="2" t="inlineStr">
        <is>
          <t>1.เปิด `/payment/{tracking_id}` 2.เลือกธนาคาร 3.แนบสลิป</t>
        </is>
      </c>
      <c r="O53" s="2" t="inlineStr">
        <is>
          <t>แสดง QR/บัญชี; แจ้งชำระ → `/order/accept-payment-infos`; **ไม่ตัดเงินอัตโนมัติ**</t>
        </is>
      </c>
      <c r="P53" s="2" t="inlineStr">
        <is>
          <t>`payment/[tracking_id]`, `accept_payment_infos`</t>
        </is>
      </c>
      <c r="Q53" s="2" t="inlineStr">
        <is>
          <t>หยุดก่อนยืนยัน</t>
        </is>
      </c>
    </row>
    <row r="54" ht="45" customHeight="1">
      <c r="A54" s="2" t="inlineStr">
        <is>
          <t>TC-PAY-02-R</t>
        </is>
      </c>
      <c r="B54" s="2" t="inlineStr">
        <is>
          <t>Payment</t>
        </is>
      </c>
      <c r="C54" s="2" t="inlineStr">
        <is>
          <t>Payment</t>
        </is>
      </c>
      <c r="D54" s="2" t="inlineStr">
        <is>
          <t>บัตร fee (env)</t>
        </is>
      </c>
      <c r="E54" s="2" t="inlineStr">
        <is>
          <t>Integration</t>
        </is>
      </c>
      <c r="F54" s="2" t="inlineStr">
        <is>
          <t>Boundary</t>
        </is>
      </c>
      <c r="G54" s="3" t="inlineStr">
        <is>
          <t>High</t>
        </is>
      </c>
      <c r="H54" s="2" t="inlineStr">
        <is>
          <t>Not Started</t>
        </is>
      </c>
      <c r="I54" s="2" t="inlineStr"/>
      <c r="J54" s="2" t="inlineStr"/>
      <c r="K54" s="2" t="inlineStr"/>
      <c r="L54" s="2" t="inlineStr">
        <is>
          <t>ผ่าน checkout, ยอดทราบค่า (TD-18)</t>
        </is>
      </c>
      <c r="M54" s="2" t="inlineStr">
        <is>
          <t>method=2, ยอด=X</t>
        </is>
      </c>
      <c r="N54" s="2" t="inlineStr">
        <is>
          <t>1.เลือกบัตร 2.ดูยอด</t>
        </is>
      </c>
      <c r="O54" s="2" t="inlineStr">
        <is>
          <t>fee = X×`CREDIT_CARD_SERVICE_FEE_PERCENTAGE`/100 (**ยืนยันค่า env**)</t>
        </is>
      </c>
      <c r="P54" s="2" t="inlineStr">
        <is>
          <t>`get_total_payment:~1625`</t>
        </is>
      </c>
      <c r="Q54" s="2" t="inlineStr">
        <is>
          <t>**แก้ assumption 3% ตายตัว**</t>
        </is>
      </c>
    </row>
    <row r="55" ht="45" customHeight="1">
      <c r="A55" s="2" t="inlineStr">
        <is>
          <t>TC-PAY-03</t>
        </is>
      </c>
      <c r="B55" s="2" t="inlineStr">
        <is>
          <t>Payment</t>
        </is>
      </c>
      <c r="C55" s="2" t="inlineStr">
        <is>
          <t>Payment</t>
        </is>
      </c>
      <c r="D55" s="2" t="inlineStr">
        <is>
          <t>ไม่ทำ transaction จริง</t>
        </is>
      </c>
      <c r="E55" s="2" t="inlineStr">
        <is>
          <t>Manual Exploratory</t>
        </is>
      </c>
      <c r="F55" s="2" t="inlineStr">
        <is>
          <t>Positive (safety gate)</t>
        </is>
      </c>
      <c r="G55" s="3" t="inlineStr">
        <is>
          <t>High</t>
        </is>
      </c>
      <c r="H55" s="2" t="inlineStr">
        <is>
          <t>Not Started</t>
        </is>
      </c>
      <c r="I55" s="2" t="inlineStr"/>
      <c r="J55" s="2" t="inlineStr"/>
      <c r="K55" s="2" t="inlineStr"/>
      <c r="L55" s="2" t="inlineStr">
        <is>
          <t>อยู่หน้าชำระเงิน</t>
        </is>
      </c>
      <c r="M55" s="2" t="inlineStr">
        <is>
          <t>—</t>
        </is>
      </c>
      <c r="N55" s="2" t="inlineStr">
        <is>
          <t>1.หยุดก่อนยืนยันชำระจริง</t>
        </is>
      </c>
      <c r="O55" s="2" t="inlineStr">
        <is>
          <t>ไม่มี transaction จริงใน env ทดสอบ</t>
        </is>
      </c>
      <c r="P55" s="2" t="inlineStr">
        <is>
          <t>กฎความปลอดภัย</t>
        </is>
      </c>
      <c r="Q55" s="2" t="inlineStr">
        <is>
          <t>gate กลางทุก payment TC</t>
        </is>
      </c>
    </row>
    <row r="56" ht="45" customHeight="1">
      <c r="A56" s="2" t="inlineStr">
        <is>
          <t>TC-PAY-04</t>
        </is>
      </c>
      <c r="B56" s="2" t="inlineStr">
        <is>
          <t>Payment</t>
        </is>
      </c>
      <c r="C56" s="2" t="inlineStr">
        <is>
          <t>Payment</t>
        </is>
      </c>
      <c r="D56" s="2" t="inlineStr">
        <is>
          <t>fee = total×env%</t>
        </is>
      </c>
      <c r="E56" s="2" t="inlineStr">
        <is>
          <t>Integration</t>
        </is>
      </c>
      <c r="F56" s="2" t="inlineStr">
        <is>
          <t>Boundary</t>
        </is>
      </c>
      <c r="G56" s="3" t="inlineStr">
        <is>
          <t>High</t>
        </is>
      </c>
      <c r="H56" s="2" t="inlineStr">
        <is>
          <t>Not Started</t>
        </is>
      </c>
      <c r="I56" s="2" t="inlineStr"/>
      <c r="J56" s="2" t="inlineStr"/>
      <c r="K56" s="2" t="inlineStr"/>
      <c r="L56" s="2" t="inlineStr">
        <is>
          <t>ผ่าน checkout (TD-18)</t>
        </is>
      </c>
      <c r="M56" s="2" t="inlineStr">
        <is>
          <t>method=2, ยอด=X</t>
        </is>
      </c>
      <c r="N56" s="2" t="inlineStr">
        <is>
          <t>1.เลือกบัตร 2.ดูยอด</t>
        </is>
      </c>
      <c r="O56" s="2" t="inlineStr">
        <is>
          <t>fee=X×env%/100; total+fee แสดงก่อนชำระ</t>
        </is>
      </c>
      <c r="P56" s="2" t="inlineStr">
        <is>
          <t>`get_total_payment:~1625`</t>
        </is>
      </c>
      <c r="Q56" s="2" t="inlineStr">
        <is>
          <t>ยืนยัน env</t>
        </is>
      </c>
    </row>
    <row r="57" ht="45" customHeight="1">
      <c r="A57" s="2" t="inlineStr">
        <is>
          <t>TC-PAY-05</t>
        </is>
      </c>
      <c r="B57" s="2" t="inlineStr">
        <is>
          <t>Payment</t>
        </is>
      </c>
      <c r="C57" s="2" t="inlineStr">
        <is>
          <t>Payment</t>
        </is>
      </c>
      <c r="D57" s="2" t="inlineStr">
        <is>
          <t>สลิปบังคับ</t>
        </is>
      </c>
      <c r="E57" s="2" t="inlineStr">
        <is>
          <t>API</t>
        </is>
      </c>
      <c r="F57" s="2" t="inlineStr">
        <is>
          <t>Validation</t>
        </is>
      </c>
      <c r="G57" s="3" t="inlineStr">
        <is>
          <t>High</t>
        </is>
      </c>
      <c r="H57" s="2" t="inlineStr">
        <is>
          <t>Not Started</t>
        </is>
      </c>
      <c r="I57" s="2" t="inlineStr"/>
      <c r="J57" s="2" t="inlineStr"/>
      <c r="K57" s="2" t="inlineStr"/>
      <c r="L57" s="2" t="inlineStr">
        <is>
          <t>order รอชำระ (TD-20)</t>
        </is>
      </c>
      <c r="M57" s="2" t="inlineStr">
        <is>
          <t>bank_id=1, ไม่มี media_id</t>
        </is>
      </c>
      <c r="N57" s="2" t="inlineStr">
        <is>
          <t>1.POST `/order/accept-payment-infos` ไม่แนบสลิป</t>
        </is>
      </c>
      <c r="O57" s="2" t="inlineStr">
        <is>
          <t>reject (media_id required_with bank_id)</t>
        </is>
      </c>
      <c r="P57" s="2" t="inlineStr">
        <is>
          <t>`accept_payment_infos:rules`</t>
        </is>
      </c>
      <c r="Q57" s="2" t="inlineStr">
        <is>
          <t>—</t>
        </is>
      </c>
    </row>
    <row r="58" ht="45" customHeight="1">
      <c r="A58" s="2" t="inlineStr">
        <is>
          <t>TC-PAY-06</t>
        </is>
      </c>
      <c r="B58" s="2" t="inlineStr">
        <is>
          <t>Payment</t>
        </is>
      </c>
      <c r="C58" s="2" t="inlineStr">
        <is>
          <t>Payment</t>
        </is>
      </c>
      <c r="D58" s="2" t="inlineStr">
        <is>
          <t>bank_id → payment.type</t>
        </is>
      </c>
      <c r="E58" s="2" t="inlineStr">
        <is>
          <t>API</t>
        </is>
      </c>
      <c r="F58" s="2" t="inlineStr">
        <is>
          <t>Positive</t>
        </is>
      </c>
      <c r="G58" s="5" t="inlineStr">
        <is>
          <t>Medium</t>
        </is>
      </c>
      <c r="H58" s="2" t="inlineStr">
        <is>
          <t>Not Started</t>
        </is>
      </c>
      <c r="I58" s="2" t="inlineStr"/>
      <c r="J58" s="2" t="inlineStr"/>
      <c r="K58" s="2" t="inlineStr"/>
      <c r="L58" s="2" t="inlineStr">
        <is>
          <t>order รอชำระ</t>
        </is>
      </c>
      <c r="M58" s="2" t="inlineStr">
        <is>
          <t>bank_id 0/1/2/3/4</t>
        </is>
      </c>
      <c r="N58" s="2" t="inlineStr">
        <is>
          <t>1.แจ้งชำระแต่ละธนาคาร</t>
        </is>
      </c>
      <c r="O58" s="2" t="inlineStr">
        <is>
          <t>payment.type map ถูก (4/2/3/1/6)</t>
        </is>
      </c>
      <c r="P58" s="2" t="inlineStr">
        <is>
          <t>`accept_payment_infos:switch`</t>
        </is>
      </c>
      <c r="Q58" s="2" t="inlineStr">
        <is>
          <t>parameterize</t>
        </is>
      </c>
    </row>
    <row r="59" ht="45" customHeight="1">
      <c r="A59" s="2" t="inlineStr">
        <is>
          <t>TC-PAY-07</t>
        </is>
      </c>
      <c r="B59" s="2" t="inlineStr">
        <is>
          <t>Payment</t>
        </is>
      </c>
      <c r="C59" s="2" t="inlineStr">
        <is>
          <t>Payment</t>
        </is>
      </c>
      <c r="D59" s="2" t="inlineStr">
        <is>
          <t>status_payment โอน=1/บัตร=2</t>
        </is>
      </c>
      <c r="E59" s="2" t="inlineStr">
        <is>
          <t>API</t>
        </is>
      </c>
      <c r="F59" s="2" t="inlineStr">
        <is>
          <t>Positive</t>
        </is>
      </c>
      <c r="G59" s="5" t="inlineStr">
        <is>
          <t>Medium</t>
        </is>
      </c>
      <c r="H59" s="2" t="inlineStr">
        <is>
          <t>Not Started</t>
        </is>
      </c>
      <c r="I59" s="2" t="inlineStr"/>
      <c r="J59" s="2" t="inlineStr"/>
      <c r="K59" s="2" t="inlineStr"/>
      <c r="L59" s="2" t="inlineStr">
        <is>
          <t>order รอชำระ</t>
        </is>
      </c>
      <c r="M59" s="2" t="inlineStr">
        <is>
          <t>โอน vs 2c2p</t>
        </is>
      </c>
      <c r="N59" s="2" t="inlineStr">
        <is>
          <t>1.แจ้งชำระ</t>
        </is>
      </c>
      <c r="O59" s="2" t="inlineStr">
        <is>
          <t>status_payment = 1(โอน)/2(บัตร)</t>
        </is>
      </c>
      <c r="P59" s="2" t="inlineStr">
        <is>
          <t>`accept_payment_infos:~1010`</t>
        </is>
      </c>
      <c r="Q59" s="2" t="inlineStr">
        <is>
          <t>—</t>
        </is>
      </c>
    </row>
    <row r="60" ht="45" customHeight="1">
      <c r="A60" s="2" t="inlineStr">
        <is>
          <t>TC-PAY-09</t>
        </is>
      </c>
      <c r="B60" s="2" t="inlineStr">
        <is>
          <t>Payment</t>
        </is>
      </c>
      <c r="C60" s="2" t="inlineStr">
        <is>
          <t>Payment</t>
        </is>
      </c>
      <c r="D60" s="2" t="inlineStr">
        <is>
          <t>transfer date/time ผิด</t>
        </is>
      </c>
      <c r="E60" s="2" t="inlineStr">
        <is>
          <t>API</t>
        </is>
      </c>
      <c r="F60" s="2" t="inlineStr">
        <is>
          <t>Validation</t>
        </is>
      </c>
      <c r="G60" s="5" t="inlineStr">
        <is>
          <t>Medium</t>
        </is>
      </c>
      <c r="H60" s="2" t="inlineStr">
        <is>
          <t>Not Started</t>
        </is>
      </c>
      <c r="I60" s="2" t="inlineStr"/>
      <c r="J60" s="2" t="inlineStr"/>
      <c r="K60" s="2" t="inlineStr"/>
      <c r="L60" s="2" t="inlineStr">
        <is>
          <t>order รอชำระ</t>
        </is>
      </c>
      <c r="M60" s="2" t="inlineStr">
        <is>
          <t>date="2026/01/01"</t>
        </is>
      </c>
      <c r="N60" s="2" t="inlineStr">
        <is>
          <t>1.แจ้งชำระ format ผิด</t>
        </is>
      </c>
      <c r="O60" s="2" t="inlineStr">
        <is>
          <t>reject "...รูปแบบ Y-m-d / H:i"</t>
        </is>
      </c>
      <c r="P60" s="2" t="inlineStr">
        <is>
          <t>`accept_payment_infos:rules`</t>
        </is>
      </c>
      <c r="Q60" s="2" t="inlineStr">
        <is>
          <t>—</t>
        </is>
      </c>
    </row>
    <row r="61" ht="45" customHeight="1">
      <c r="A61" s="2" t="inlineStr">
        <is>
          <t>TC-PAY-10</t>
        </is>
      </c>
      <c r="B61" s="2" t="inlineStr">
        <is>
          <t>Payment</t>
        </is>
      </c>
      <c r="C61" s="2" t="inlineStr">
        <is>
          <t>Payment</t>
        </is>
      </c>
      <c r="D61" s="2" t="inlineStr">
        <is>
          <t>2C2P fail</t>
        </is>
      </c>
      <c r="E61" s="2" t="inlineStr">
        <is>
          <t>API</t>
        </is>
      </c>
      <c r="F61" s="2" t="inlineStr">
        <is>
          <t>API Error</t>
        </is>
      </c>
      <c r="G61" s="5" t="inlineStr">
        <is>
          <t>Medium</t>
        </is>
      </c>
      <c r="H61" s="2" t="inlineStr">
        <is>
          <t>Script Done</t>
        </is>
      </c>
      <c r="I61" s="2" t="inlineStr">
        <is>
          <t>Yes</t>
        </is>
      </c>
      <c r="J61" s="2" t="inlineStr"/>
      <c r="K61" s="2" t="inlineStr">
        <is>
          <t>tests/regression/TC-PAY-CARD-NEG_card-declined.robot — PASS (RF, 2c2p sandbox declined; gated on PROD)</t>
        </is>
      </c>
      <c r="L61" s="2" t="inlineStr">
        <is>
          <t>order รอชำระ</t>
        </is>
      </c>
      <c r="M61" s="2" t="inlineStr">
        <is>
          <t>success=false, tracking_id</t>
        </is>
      </c>
      <c r="N61" s="2" t="inlineStr">
        <is>
          <t>1.callback fail</t>
        </is>
      </c>
      <c r="O61" s="2" t="inlineStr">
        <is>
          <t>ส่งเมล fail, return ok</t>
        </is>
      </c>
      <c r="P61" s="2" t="inlineStr">
        <is>
          <t>`payment_fails:1147`</t>
        </is>
      </c>
      <c r="Q61" s="2" t="inlineStr">
        <is>
          <t>sandbox</t>
        </is>
      </c>
    </row>
    <row r="62" ht="45" customHeight="1">
      <c r="A62" s="2" t="inlineStr">
        <is>
          <t>TC-ORD-01a-R</t>
        </is>
      </c>
      <c r="B62" s="2" t="inlineStr">
        <is>
          <t>Order Success / Tracking</t>
        </is>
      </c>
      <c r="C62" s="2" t="inlineStr">
        <is>
          <t>Order Success</t>
        </is>
      </c>
      <c r="D62" s="2" t="inlineStr">
        <is>
          <t>หน้า success</t>
        </is>
      </c>
      <c r="E62" s="2" t="inlineStr">
        <is>
          <t>UI</t>
        </is>
      </c>
      <c r="F62" s="2" t="inlineStr">
        <is>
          <t>Positive</t>
        </is>
      </c>
      <c r="G62" s="5" t="inlineStr">
        <is>
          <t>Medium</t>
        </is>
      </c>
      <c r="H62" s="2" t="inlineStr">
        <is>
          <t>Not Started</t>
        </is>
      </c>
      <c r="I62" s="2" t="inlineStr"/>
      <c r="J62" s="2" t="inlineStr"/>
      <c r="K62" s="2" t="inlineStr"/>
      <c r="L62" s="2" t="inlineStr">
        <is>
          <t>order สำเร็จ (sandbox)</t>
        </is>
      </c>
      <c r="M62" s="2" t="inlineStr">
        <is>
          <t>tracking_id</t>
        </is>
      </c>
      <c r="N62" s="2" t="inlineStr">
        <is>
          <t>1.เปิด `/payment/success/{tracking_id}`</t>
        </is>
      </c>
      <c r="O62" s="2" t="inlineStr">
        <is>
          <t>แสดงเลขออเดอร์/สรุป</t>
        </is>
      </c>
      <c r="P62" s="2" t="inlineStr">
        <is>
          <t>`app/payment/success/[tracking_id]`</t>
        </is>
      </c>
      <c r="Q62" s="2" t="inlineStr">
        <is>
          <t>—</t>
        </is>
      </c>
    </row>
    <row r="63" ht="45" customHeight="1">
      <c r="A63" s="2" t="inlineStr">
        <is>
          <t>TC-ORD-01b-R</t>
        </is>
      </c>
      <c r="B63" s="2" t="inlineStr">
        <is>
          <t>Order Success / Tracking</t>
        </is>
      </c>
      <c r="C63" s="2" t="inlineStr">
        <is>
          <t>Order Success</t>
        </is>
      </c>
      <c r="D63" s="2" t="inlineStr">
        <is>
          <t>email ยืนยัน</t>
        </is>
      </c>
      <c r="E63" s="2" t="inlineStr">
        <is>
          <t>Integration</t>
        </is>
      </c>
      <c r="F63" s="2" t="inlineStr">
        <is>
          <t>Positive</t>
        </is>
      </c>
      <c r="G63" s="5" t="inlineStr">
        <is>
          <t>Medium</t>
        </is>
      </c>
      <c r="H63" s="2" t="inlineStr">
        <is>
          <t>Not Started</t>
        </is>
      </c>
      <c r="I63" s="2" t="inlineStr"/>
      <c r="J63" s="2" t="inlineStr"/>
      <c r="K63" s="2" t="inlineStr"/>
      <c r="L63" s="2" t="inlineStr">
        <is>
          <t>order สำเร็จ</t>
        </is>
      </c>
      <c r="M63" s="2" t="inlineStr">
        <is>
          <t>email ผู้สั่ง</t>
        </is>
      </c>
      <c r="N63" s="2" t="inlineStr">
        <is>
          <t>1.สั่งสำเร็จ 2.ตรวจเมล</t>
        </is>
      </c>
      <c r="O63" s="2" t="inlineStr">
        <is>
          <t>`SendOrderCreatedEmailJob` dispatch + ได้เมล</t>
        </is>
      </c>
      <c r="P63" s="2" t="inlineStr">
        <is>
          <t>`OrderController:store:~440`</t>
        </is>
      </c>
      <c r="Q63" s="2" t="inlineStr">
        <is>
          <t>ตรวจที่ mail server</t>
        </is>
      </c>
    </row>
    <row r="64" ht="45" customHeight="1">
      <c r="A64" s="2" t="inlineStr">
        <is>
          <t>TC-TRK-01a-R</t>
        </is>
      </c>
      <c r="B64" s="2" t="inlineStr">
        <is>
          <t>Order Success / Tracking</t>
        </is>
      </c>
      <c r="C64" s="2" t="inlineStr">
        <is>
          <t>Tracking</t>
        </is>
      </c>
      <c r="D64" s="2" t="inlineStr">
        <is>
          <t>ค้นด้วย tracking_id</t>
        </is>
      </c>
      <c r="E64" s="2" t="inlineStr">
        <is>
          <t>Integration</t>
        </is>
      </c>
      <c r="F64" s="2" t="inlineStr">
        <is>
          <t>Positive</t>
        </is>
      </c>
      <c r="G64" s="5" t="inlineStr">
        <is>
          <t>Medium</t>
        </is>
      </c>
      <c r="H64" s="2" t="inlineStr">
        <is>
          <t>Not Started</t>
        </is>
      </c>
      <c r="I64" s="2" t="inlineStr"/>
      <c r="J64" s="2" t="inlineStr"/>
      <c r="K64" s="2" t="inlineStr"/>
      <c r="L64" s="2" t="inlineStr">
        <is>
          <t>TD-22 (service พร้อม)</t>
        </is>
      </c>
      <c r="M64" s="2" t="inlineStr">
        <is>
          <t>tracking_id</t>
        </is>
      </c>
      <c r="N64" s="2" t="inlineStr">
        <is>
          <t>1.เปิด `/tracking?tracking_id=` 2.ค้นหา</t>
        </is>
      </c>
      <c r="O64" s="2" t="inlineStr">
        <is>
          <t>แสดงสถานะตาม status_payment</t>
        </is>
      </c>
      <c r="P64" s="2" t="inlineStr">
        <is>
          <t>`app/tracking/page.tsx`; service=`Not verifiable from code`</t>
        </is>
      </c>
      <c r="Q64" s="2" t="inlineStr">
        <is>
          <t>ขอ spec service</t>
        </is>
      </c>
    </row>
    <row r="65" ht="45" customHeight="1">
      <c r="A65" s="2" t="inlineStr">
        <is>
          <t>TC-TRK-02</t>
        </is>
      </c>
      <c r="B65" s="2" t="inlineStr">
        <is>
          <t>Order Success / Tracking</t>
        </is>
      </c>
      <c r="C65" s="2" t="inlineStr">
        <is>
          <t>Tracking</t>
        </is>
      </c>
      <c r="D65" s="2" t="inlineStr">
        <is>
          <t>order_code + เบอร์/อีเมล</t>
        </is>
      </c>
      <c r="E65" s="2" t="inlineStr">
        <is>
          <t>Integration</t>
        </is>
      </c>
      <c r="F65" s="2" t="inlineStr">
        <is>
          <t>Positive</t>
        </is>
      </c>
      <c r="G65" s="5" t="inlineStr">
        <is>
          <t>Medium</t>
        </is>
      </c>
      <c r="H65" s="2" t="inlineStr">
        <is>
          <t>Script Done</t>
        </is>
      </c>
      <c r="I65" s="2" t="inlineStr">
        <is>
          <t>Yes</t>
        </is>
      </c>
      <c r="J65" s="2" t="inlineStr"/>
      <c r="K65" s="2" t="inlineStr">
        <is>
          <t>tests/tracking/TC-TRK-01_track-by-order-code.robot — order_code + phone (RF). PROD-only: skip บน staging (ต้องมี known order); robot tag TC-TRK-01</t>
        </is>
      </c>
      <c r="L65" s="2" t="inlineStr">
        <is>
          <t>TD-22</t>
        </is>
      </c>
      <c r="M65" s="2" t="inlineStr">
        <is>
          <t>order_code + phone_or_email</t>
        </is>
      </c>
      <c r="N65" s="2" t="inlineStr">
        <is>
          <t>1.กรอกคู่ข้อมูล 2.ค้นหา</t>
        </is>
      </c>
      <c r="O65" s="2" t="inlineStr">
        <is>
          <t>แสดงสถานะ</t>
        </is>
      </c>
      <c r="P65" s="2" t="inlineStr">
        <is>
          <t>`tracking/page.tsx:36-44`</t>
        </is>
      </c>
      <c r="Q65" s="2" t="inlineStr">
        <is>
          <t>path ที่ 2</t>
        </is>
      </c>
    </row>
    <row r="66" ht="45" customHeight="1">
      <c r="A66" s="2" t="inlineStr">
        <is>
          <t>TC-TRK-03</t>
        </is>
      </c>
      <c r="B66" s="2" t="inlineStr">
        <is>
          <t>Order Success / Tracking</t>
        </is>
      </c>
      <c r="C66" s="2" t="inlineStr">
        <is>
          <t>Tracking</t>
        </is>
      </c>
      <c r="D66" s="2" t="inlineStr">
        <is>
          <t>ข้อมูลผิด</t>
        </is>
      </c>
      <c r="E66" s="2" t="inlineStr">
        <is>
          <t>Integration</t>
        </is>
      </c>
      <c r="F66" s="2" t="inlineStr">
        <is>
          <t>Negative</t>
        </is>
      </c>
      <c r="G66" s="5" t="inlineStr">
        <is>
          <t>Medium</t>
        </is>
      </c>
      <c r="H66" s="2" t="inlineStr">
        <is>
          <t>Script Done</t>
        </is>
      </c>
      <c r="I66" s="2" t="inlineStr">
        <is>
          <t>Yes</t>
        </is>
      </c>
      <c r="J66" s="2" t="inlineStr"/>
      <c r="K66" s="2" t="inlineStr">
        <is>
          <t>tests/tracking/TC-TRK-04_invalid-lookup.robot — PASS (RF, notFound + no leak; robot tag TC-TRK-04)</t>
        </is>
      </c>
      <c r="L66" s="2" t="inlineStr">
        <is>
          <t>—</t>
        </is>
      </c>
      <c r="M66" s="2" t="inlineStr">
        <is>
          <t>tracking_id ปลอม</t>
        </is>
      </c>
      <c r="N66" s="2" t="inlineStr">
        <is>
          <t>1.ค้นหา</t>
        </is>
      </c>
      <c r="O66" s="2" t="inlineStr">
        <is>
          <t>branch notFound, ไม่ leak ข้อมูลผู้อื่น</t>
        </is>
      </c>
      <c r="P66" s="2" t="inlineStr">
        <is>
          <t>`tracking/page.tsx:55-58`</t>
        </is>
      </c>
      <c r="Q66" s="2" t="inlineStr">
        <is>
          <t>—</t>
        </is>
      </c>
    </row>
    <row r="67" ht="45" customHeight="1">
      <c r="A67" s="2" t="inlineStr">
        <is>
          <t>TC-TRK-04</t>
        </is>
      </c>
      <c r="B67" s="2" t="inlineStr">
        <is>
          <t>Order Success / Tracking</t>
        </is>
      </c>
      <c r="C67" s="2" t="inlineStr">
        <is>
          <t>Tracking</t>
        </is>
      </c>
      <c r="D67" s="2" t="inlineStr">
        <is>
          <t>branch status_payment</t>
        </is>
      </c>
      <c r="E67" s="2" t="inlineStr">
        <is>
          <t>Integration</t>
        </is>
      </c>
      <c r="F67" s="2" t="inlineStr">
        <is>
          <t>Positive</t>
        </is>
      </c>
      <c r="G67" s="5" t="inlineStr">
        <is>
          <t>Medium</t>
        </is>
      </c>
      <c r="H67" s="2" t="inlineStr">
        <is>
          <t>Not Started</t>
        </is>
      </c>
      <c r="I67" s="2" t="inlineStr"/>
      <c r="J67" s="2" t="inlineStr"/>
      <c r="K67" s="2" t="inlineStr"/>
      <c r="L67" s="2" t="inlineStr">
        <is>
          <t>order หลายสถานะ (TD-20/21)</t>
        </is>
      </c>
      <c r="M67" s="2" t="inlineStr">
        <is>
          <t>status 0/1 vs 2/3/4</t>
        </is>
      </c>
      <c r="N67" s="2" t="inlineStr">
        <is>
          <t>1.เปิด tracking</t>
        </is>
      </c>
      <c r="O67" s="2" t="inlineStr">
        <is>
          <t>0/1→`result-notpayment`; 2-4→`result`</t>
        </is>
      </c>
      <c r="P67" s="2" t="inlineStr">
        <is>
          <t>`tracking/page.tsx:140-160`</t>
        </is>
      </c>
      <c r="Q67" s="2" t="inlineStr">
        <is>
          <t>—</t>
        </is>
      </c>
    </row>
    <row r="68" ht="45" customHeight="1">
      <c r="A68" s="2" t="inlineStr">
        <is>
          <t>TC-SEC-01</t>
        </is>
      </c>
      <c r="B68" s="2" t="inlineStr">
        <is>
          <t>Cross-cutting: API Error / Session / Security / Responsive</t>
        </is>
      </c>
      <c r="C68" s="2" t="inlineStr">
        <is>
          <t>Security</t>
        </is>
      </c>
      <c r="D68" s="2" t="inlineStr">
        <is>
          <t>consent bypass (BE)</t>
        </is>
      </c>
      <c r="E68" s="2" t="inlineStr">
        <is>
          <t>API</t>
        </is>
      </c>
      <c r="F68" s="2" t="inlineStr">
        <is>
          <t>Security</t>
        </is>
      </c>
      <c r="G68" s="3" t="inlineStr">
        <is>
          <t>High</t>
        </is>
      </c>
      <c r="H68" s="2" t="inlineStr">
        <is>
          <t>Not Started</t>
        </is>
      </c>
      <c r="I68" s="2" t="inlineStr"/>
      <c r="J68" s="2" t="inlineStr"/>
      <c r="K68" s="2" t="inlineStr"/>
      <c r="L68" s="2" t="inlineStr">
        <is>
          <t>—</t>
        </is>
      </c>
      <c r="M68" s="2" t="inlineStr">
        <is>
          <t>payload ไม่มี privacy_policy_accepted</t>
        </is>
      </c>
      <c r="N68" s="2" t="inlineStr">
        <is>
          <t>1.POST `/api/order` ตรง</t>
        </is>
      </c>
      <c r="O68" s="2" t="inlineStr">
        <is>
          <t>**BE ไม่ block → ผ่าน** = ความเสี่ยง bypass; แจ้ง dev เพิ่ม rule</t>
        </is>
      </c>
      <c r="P68" s="2" t="inlineStr">
        <is>
          <t>`OrderController:store` (ไม่มี privacy rule)</t>
        </is>
      </c>
      <c r="Q68" s="2">
        <f> TC-CHK-05 ฝั่ง API</f>
        <v/>
      </c>
    </row>
    <row r="69" ht="45" customHeight="1">
      <c r="A69" s="2" t="inlineStr">
        <is>
          <t>TC-SEC-02</t>
        </is>
      </c>
      <c r="B69" s="2" t="inlineStr">
        <is>
          <t>Cross-cutting: API Error / Session / Security / Responsive</t>
        </is>
      </c>
      <c r="C69" s="2" t="inlineStr">
        <is>
          <t>Security</t>
        </is>
      </c>
      <c r="D69" s="2" t="inlineStr">
        <is>
          <t>phone bypass FE</t>
        </is>
      </c>
      <c r="E69" s="2" t="inlineStr">
        <is>
          <t>API</t>
        </is>
      </c>
      <c r="F69" s="2" t="inlineStr">
        <is>
          <t>FE/BE Inconsistency</t>
        </is>
      </c>
      <c r="G69" s="5" t="inlineStr">
        <is>
          <t>Medium</t>
        </is>
      </c>
      <c r="H69" s="2" t="inlineStr">
        <is>
          <t>Not Started</t>
        </is>
      </c>
      <c r="I69" s="2" t="inlineStr"/>
      <c r="J69" s="2" t="inlineStr"/>
      <c r="K69" s="2" t="inlineStr"/>
      <c r="L69" s="2" t="inlineStr">
        <is>
          <t>—</t>
        </is>
      </c>
      <c r="M69" s="2" t="inlineStr">
        <is>
          <t>`+66812345678`</t>
        </is>
      </c>
      <c r="N69" s="2" t="inlineStr">
        <is>
          <t>1.POST `/api/order` ตรง</t>
        </is>
      </c>
      <c r="O69" s="2" t="inlineStr">
        <is>
          <t>FE reject แต่ BE รับ</t>
        </is>
      </c>
      <c r="P69" s="2" t="inlineStr">
        <is>
          <t>FE vs BE regex</t>
        </is>
      </c>
      <c r="Q69" s="2" t="inlineStr">
        <is>
          <t>—</t>
        </is>
      </c>
    </row>
    <row r="70" ht="45" customHeight="1">
      <c r="A70" s="2" t="inlineStr">
        <is>
          <t>TC-SEC-03</t>
        </is>
      </c>
      <c r="B70" s="2" t="inlineStr">
        <is>
          <t>Cross-cutting: API Error / Session / Security / Responsive</t>
        </is>
      </c>
      <c r="C70" s="2" t="inlineStr">
        <is>
          <t>Security</t>
        </is>
      </c>
      <c r="D70" s="2" t="inlineStr">
        <is>
          <t>XSS/SQLi ในป้าย/ศาลา</t>
        </is>
      </c>
      <c r="E70" s="2" t="inlineStr">
        <is>
          <t>API</t>
        </is>
      </c>
      <c r="F70" s="2" t="inlineStr">
        <is>
          <t>Security</t>
        </is>
      </c>
      <c r="G70" s="5" t="inlineStr">
        <is>
          <t>Medium</t>
        </is>
      </c>
      <c r="H70" s="2" t="inlineStr">
        <is>
          <t>Not Started</t>
        </is>
      </c>
      <c r="I70" s="2" t="inlineStr"/>
      <c r="J70" s="2" t="inlineStr"/>
      <c r="K70" s="2" t="inlineStr"/>
      <c r="L70" s="2" t="inlineStr">
        <is>
          <t>—</t>
        </is>
      </c>
      <c r="M70" s="2" t="inlineStr">
        <is>
          <t>`&lt;script&gt;alert(1)&lt;/script&gt;`, `' OR '1'='1`</t>
        </is>
      </c>
      <c r="N70" s="2" t="inlineStr">
        <is>
          <t>1.กรอก submit</t>
        </is>
      </c>
      <c r="O70" s="2" t="inlineStr">
        <is>
          <t>Eloquent parameterized; ไม่ execute/ไม่ 500 (`Not verifiable from code` — ต้อง execute)</t>
        </is>
      </c>
      <c r="P70" s="2" t="inlineStr">
        <is>
          <t>`OrderController:store` (ไม่พบ explicit sanitize)</t>
        </is>
      </c>
      <c r="Q70" s="2" t="inlineStr">
        <is>
          <t>basic security smoke</t>
        </is>
      </c>
    </row>
    <row r="71" ht="45" customHeight="1">
      <c r="A71" s="2" t="inlineStr">
        <is>
          <t>TC-API-01</t>
        </is>
      </c>
      <c r="B71" s="2" t="inlineStr">
        <is>
          <t>Cross-cutting: API Error / Session / Security / Responsive</t>
        </is>
      </c>
      <c r="C71" s="2" t="inlineStr">
        <is>
          <t>API Error</t>
        </is>
      </c>
      <c r="D71" s="2" t="inlineStr">
        <is>
          <t>ERP 422</t>
        </is>
      </c>
      <c r="E71" s="2" t="inlineStr">
        <is>
          <t>Integration</t>
        </is>
      </c>
      <c r="F71" s="2" t="inlineStr">
        <is>
          <t>API Error</t>
        </is>
      </c>
      <c r="G71" s="3" t="inlineStr">
        <is>
          <t>High</t>
        </is>
      </c>
      <c r="H71" s="2" t="inlineStr">
        <is>
          <t>Not Started</t>
        </is>
      </c>
      <c r="I71" s="2" t="inlineStr"/>
      <c r="J71" s="2" t="inlineStr"/>
      <c r="K71" s="2" t="inlineStr"/>
      <c r="L71" s="2" t="inlineStr">
        <is>
          <t>mock ERP 422 (TD-24)</t>
        </is>
      </c>
      <c r="M71" s="2" t="inlineStr">
        <is>
          <t>—</t>
        </is>
      </c>
      <c r="N71" s="2" t="inlineStr">
        <is>
          <t>1.submit order</t>
        </is>
      </c>
      <c r="O71" s="2" t="inlineStr">
        <is>
          <t>proxy คืน `{error:true,...}` → `openErrorModal` แสดง</t>
        </is>
      </c>
      <c r="P71" s="2" t="inlineStr">
        <is>
          <t>`pages/api/order.ts:catch`, `onCreateOrder:else`</t>
        </is>
      </c>
      <c r="Q71" s="2" t="inlineStr">
        <is>
          <t>mock</t>
        </is>
      </c>
    </row>
    <row r="72" ht="45" customHeight="1">
      <c r="A72" s="2" t="inlineStr">
        <is>
          <t>TC-API-02</t>
        </is>
      </c>
      <c r="B72" s="2" t="inlineStr">
        <is>
          <t>Cross-cutting: API Error / Session / Security / Responsive</t>
        </is>
      </c>
      <c r="C72" s="2" t="inlineStr">
        <is>
          <t>API Error</t>
        </is>
      </c>
      <c r="D72" s="2" t="inlineStr">
        <is>
          <t>ERP 500/timeout</t>
        </is>
      </c>
      <c r="E72" s="2" t="inlineStr">
        <is>
          <t>Integration</t>
        </is>
      </c>
      <c r="F72" s="2" t="inlineStr">
        <is>
          <t>API Error</t>
        </is>
      </c>
      <c r="G72" s="3" t="inlineStr">
        <is>
          <t>High</t>
        </is>
      </c>
      <c r="H72" s="2" t="inlineStr">
        <is>
          <t>Not Started</t>
        </is>
      </c>
      <c r="I72" s="2" t="inlineStr"/>
      <c r="J72" s="2" t="inlineStr"/>
      <c r="K72" s="2" t="inlineStr"/>
      <c r="L72" s="2" t="inlineStr">
        <is>
          <t>mock ERP 500/timeout (TD-24)</t>
        </is>
      </c>
      <c r="M72" s="2" t="inlineStr">
        <is>
          <t>—</t>
        </is>
      </c>
      <c r="N72" s="2" t="inlineStr">
        <is>
          <t>1.submit order/total-payment</t>
        </is>
      </c>
      <c r="O72" s="2" t="inlineStr">
        <is>
          <t>modal error, ไม่ crash</t>
        </is>
      </c>
      <c r="P72" s="2" t="inlineStr">
        <is>
          <t>`pages/api/total-payment.ts:catch`, interceptors</t>
        </is>
      </c>
      <c r="Q72" s="2" t="inlineStr">
        <is>
          <t>mock</t>
        </is>
      </c>
    </row>
    <row r="73" ht="45" customHeight="1">
      <c r="A73" s="2" t="inlineStr">
        <is>
          <t>TC-SESS-01</t>
        </is>
      </c>
      <c r="B73" s="2" t="inlineStr">
        <is>
          <t>Cross-cutting: API Error / Session / Security / Responsive</t>
        </is>
      </c>
      <c r="C73" s="2" t="inlineStr">
        <is>
          <t>Session</t>
        </is>
      </c>
      <c r="D73" s="2" t="inlineStr">
        <is>
          <t>401 handling</t>
        </is>
      </c>
      <c r="E73" s="2" t="inlineStr">
        <is>
          <t>Integration</t>
        </is>
      </c>
      <c r="F73" s="2" t="inlineStr">
        <is>
          <t>Session</t>
        </is>
      </c>
      <c r="G73" s="3" t="inlineStr">
        <is>
          <t>High</t>
        </is>
      </c>
      <c r="H73" s="2" t="inlineStr">
        <is>
          <t>Not Started</t>
        </is>
      </c>
      <c r="I73" s="2" t="inlineStr"/>
      <c r="J73" s="2" t="inlineStr"/>
      <c r="K73" s="2" t="inlineStr"/>
      <c r="L73" s="2" t="inlineStr">
        <is>
          <t>login</t>
        </is>
      </c>
      <c r="M73" s="2" t="inlineStr">
        <is>
          <t>mock 401 จาก ERP_API (TD-24)</t>
        </is>
      </c>
      <c r="N73" s="2" t="inlineStr">
        <is>
          <t>1.เรียก API ระหว่าง flow</t>
        </is>
      </c>
      <c r="O73" s="2" t="inlineStr">
        <is>
          <t>`clearStorage()` + reload</t>
        </is>
      </c>
      <c r="P73" s="2" t="inlineStr">
        <is>
          <t>`instance.ts` ERP_API interceptor</t>
        </is>
      </c>
      <c r="Q73" s="2" t="inlineStr">
        <is>
          <t>—</t>
        </is>
      </c>
    </row>
    <row r="74" ht="45" customHeight="1">
      <c r="A74" s="2" t="inlineStr">
        <is>
          <t>TC-SESS-02</t>
        </is>
      </c>
      <c r="B74" s="2" t="inlineStr">
        <is>
          <t>Cross-cutting: API Error / Session / Security / Responsive</t>
        </is>
      </c>
      <c r="C74" s="2" t="inlineStr">
        <is>
          <t>Session</t>
        </is>
      </c>
      <c r="D74" s="2" t="inlineStr">
        <is>
          <t>cleanup messageCard keys</t>
        </is>
      </c>
      <c r="E74" s="2" t="inlineStr">
        <is>
          <t>UI</t>
        </is>
      </c>
      <c r="F74" s="2" t="inlineStr">
        <is>
          <t>Session</t>
        </is>
      </c>
      <c r="G74" s="5" t="inlineStr">
        <is>
          <t>Medium</t>
        </is>
      </c>
      <c r="H74" s="2" t="inlineStr">
        <is>
          <t>Not Started</t>
        </is>
      </c>
      <c r="I74" s="2" t="inlineStr"/>
      <c r="J74" s="2" t="inlineStr"/>
      <c r="K74" s="2" t="inlineStr"/>
      <c r="L74" s="2" t="inlineStr">
        <is>
          <t>มีของ + กรอกป้าย</t>
        </is>
      </c>
      <c r="M74" s="2" t="inlineStr">
        <is>
          <t>—</t>
        </is>
      </c>
      <c r="N74" s="2" t="inlineStr">
        <is>
          <t>1.ลบสินค้า/สั่งสำเร็จ</t>
        </is>
      </c>
      <c r="O74" s="2" t="inlineStr">
        <is>
          <t>localStorage `messageCardModal-*` ถูกลบ</t>
        </is>
      </c>
      <c r="P74" s="2" t="inlineStr">
        <is>
          <t>`useCart:43-53`, `onCreateOrder:cleanup`</t>
        </is>
      </c>
      <c r="Q74" s="2" t="inlineStr">
        <is>
          <t>กันข้อมูลป้ายเก่ารั่ว</t>
        </is>
      </c>
    </row>
    <row r="75" ht="45" customHeight="1">
      <c r="A75" s="2" t="inlineStr">
        <is>
          <t>TC-ERR-01</t>
        </is>
      </c>
      <c r="B75" s="2" t="inlineStr">
        <is>
          <t>Cross-cutting: API Error / Session / Security / Responsive</t>
        </is>
      </c>
      <c r="C75" s="2" t="inlineStr">
        <is>
          <t>Error</t>
        </is>
      </c>
      <c r="D75" s="2" t="inlineStr">
        <is>
          <t>404 page</t>
        </is>
      </c>
      <c r="E75" s="2" t="inlineStr">
        <is>
          <t>UI</t>
        </is>
      </c>
      <c r="F75" s="2" t="inlineStr">
        <is>
          <t>Negative</t>
        </is>
      </c>
      <c r="G75" s="5" t="inlineStr">
        <is>
          <t>Medium</t>
        </is>
      </c>
      <c r="H75" s="4" t="inlineStr">
        <is>
          <t>Script Done</t>
        </is>
      </c>
      <c r="I75" s="2" t="inlineStr">
        <is>
          <t>Yes</t>
        </is>
      </c>
      <c r="J75" s="2" t="inlineStr"/>
      <c r="K75" s="2" t="inlineStr">
        <is>
          <t>tests/checkout/TC-ERR-01_unknown-url-404.robot — PASS (RF)</t>
        </is>
      </c>
      <c r="L75" s="2" t="inlineStr">
        <is>
          <t>—</t>
        </is>
      </c>
      <c r="M75" s="2" t="inlineStr">
        <is>
          <t>`/this-page-does-not-exist/`</t>
        </is>
      </c>
      <c r="N75" s="2" t="inlineStr">
        <is>
          <t>1.เปิด URL ไม่มีจริง</t>
        </is>
      </c>
      <c r="O75" s="2" t="inlineStr">
        <is>
          <t>หน้า 404 ที่ออกแบบ + ลิงก์กลับ</t>
        </is>
      </c>
      <c r="P75" s="2" t="inlineStr">
        <is>
          <t>`app/not-found.tsx`</t>
        </is>
      </c>
      <c r="Q75" s="2" t="inlineStr">
        <is>
          <t>keep</t>
        </is>
      </c>
    </row>
    <row r="76" ht="45" customHeight="1">
      <c r="A76" s="2" t="inlineStr">
        <is>
          <t>TC-ERR-02</t>
        </is>
      </c>
      <c r="B76" s="2" t="inlineStr">
        <is>
          <t>Cross-cutting: API Error / Session / Security / Responsive</t>
        </is>
      </c>
      <c r="C76" s="2" t="inlineStr">
        <is>
          <t>Responsive</t>
        </is>
      </c>
      <c r="D76" s="2" t="inlineStr">
        <is>
          <t>mobile flow</t>
        </is>
      </c>
      <c r="E76" s="2" t="inlineStr">
        <is>
          <t>Manual Exploratory</t>
        </is>
      </c>
      <c r="F76" s="2" t="inlineStr">
        <is>
          <t>Regression</t>
        </is>
      </c>
      <c r="G76" s="5" t="inlineStr">
        <is>
          <t>Medium</t>
        </is>
      </c>
      <c r="H76" s="2" t="inlineStr">
        <is>
          <t>Not Started</t>
        </is>
      </c>
      <c r="I76" s="2" t="inlineStr"/>
      <c r="J76" s="2" t="inlineStr"/>
      <c r="K76" s="2" t="inlineStr"/>
      <c r="L76" s="2" t="inlineStr">
        <is>
          <t>—</t>
        </is>
      </c>
      <c r="M76" s="2" t="inlineStr">
        <is>
          <t>viewport 375×812</t>
        </is>
      </c>
      <c r="N76" s="2" t="inlineStr">
        <is>
          <t>1.ทำ flow สั่งซื้อบนมือถือ</t>
        </is>
      </c>
      <c r="O76" s="2" t="inlineStr">
        <is>
          <t>layout ไม่แตก, ปุ่ม/ฟอร์มใช้ได้, hamburger ใช้ได้</t>
        </is>
      </c>
      <c r="P76" s="2" t="inlineStr">
        <is>
          <t>`CartSummaryMobile`, `MobileOrderSummary`</t>
        </is>
      </c>
      <c r="Q76" s="2" t="inlineStr">
        <is>
          <t>manual</t>
        </is>
      </c>
    </row>
  </sheetData>
  <autoFilter ref="A1:Q76"/>
  <dataValidations count="2">
    <dataValidation sqref="H2:H76" showDropDown="0" showInputMessage="0" showErrorMessage="0" allowBlank="1" type="list">
      <formula1>"Not Started,In Progress,Script Done,Reviewed,Blocked,Skipped"</formula1>
    </dataValidation>
    <dataValidation sqref="I2:I76" showDropDown="0" showInputMessage="0" showErrorMessage="0" allowBlank="1" type="list">
      <formula1>"Yes,No,Partial,API-only,Manual"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Q5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2" customWidth="1" min="5" max="5"/>
    <col width="14" customWidth="1" min="6" max="6"/>
    <col width="9" customWidth="1" min="7" max="7"/>
    <col width="13" customWidth="1" min="8" max="8"/>
    <col width="11" customWidth="1" min="9" max="9"/>
    <col width="11" customWidth="1" min="10" max="10"/>
    <col width="22" customWidth="1" min="11" max="11"/>
    <col width="22" customWidth="1" min="12" max="12"/>
    <col width="14" customWidth="1" min="13" max="13"/>
    <col width="42" customWidth="1" min="14" max="14"/>
    <col width="44" customWidth="1" min="15" max="15"/>
    <col width="28" customWidth="1" min="16" max="16"/>
    <col width="18" customWidth="1" min="17" max="17"/>
  </cols>
  <sheetData>
    <row r="1">
      <c r="A1" s="8" t="inlineStr">
        <is>
          <t>Test Case ID</t>
        </is>
      </c>
      <c r="B1" s="8" t="inlineStr">
        <is>
          <t>Group</t>
        </is>
      </c>
      <c r="C1" s="8" t="inlineStr">
        <is>
          <t>Module</t>
        </is>
      </c>
      <c r="D1" s="8" t="inlineStr">
        <is>
          <t>Feature</t>
        </is>
      </c>
      <c r="E1" s="8" t="inlineStr">
        <is>
          <t>Test Level</t>
        </is>
      </c>
      <c r="F1" s="8" t="inlineStr">
        <is>
          <t>Test Type</t>
        </is>
      </c>
      <c r="G1" s="8" t="inlineStr">
        <is>
          <t>Priority</t>
        </is>
      </c>
      <c r="H1" s="8" t="inlineStr">
        <is>
          <t>Script Status</t>
        </is>
      </c>
      <c r="I1" s="8" t="inlineStr">
        <is>
          <t>Automatable</t>
        </is>
      </c>
      <c r="J1" s="8" t="inlineStr">
        <is>
          <t>Assignee</t>
        </is>
      </c>
      <c r="K1" s="8" t="inlineStr">
        <is>
          <t>Script File / Notes</t>
        </is>
      </c>
      <c r="L1" s="8" t="inlineStr">
        <is>
          <t>Preconditions</t>
        </is>
      </c>
      <c r="M1" s="8" t="inlineStr">
        <is>
          <t>Test Data</t>
        </is>
      </c>
      <c r="N1" s="8" t="inlineStr">
        <is>
          <t>Test Steps</t>
        </is>
      </c>
      <c r="O1" s="8" t="inlineStr">
        <is>
          <t>Expected Result</t>
        </is>
      </c>
      <c r="P1" s="8" t="inlineStr">
        <is>
          <t>Code Evidence</t>
        </is>
      </c>
      <c r="Q1" s="8" t="inlineStr">
        <is>
          <t>Remark</t>
        </is>
      </c>
    </row>
    <row r="2">
      <c r="A2" s="9" t="inlineStr">
        <is>
          <t>TC-LOGIN-01</t>
        </is>
      </c>
      <c r="B2" s="9" t="inlineStr">
        <is>
          <t>Account / Auth</t>
        </is>
      </c>
      <c r="C2" s="9" t="inlineStr">
        <is>
          <t>Login</t>
        </is>
      </c>
      <c r="D2" s="9" t="inlineStr">
        <is>
          <t>login สำเร็จ</t>
        </is>
      </c>
      <c r="E2" s="9" t="inlineStr">
        <is>
          <t>UI</t>
        </is>
      </c>
      <c r="F2" s="9" t="inlineStr">
        <is>
          <t>Positive</t>
        </is>
      </c>
      <c r="G2" s="9" t="inlineStr">
        <is>
          <t>High</t>
        </is>
      </c>
      <c r="H2" s="9" t="inlineStr">
        <is>
          <t>Script Done</t>
        </is>
      </c>
      <c r="I2" s="9" t="inlineStr">
        <is>
          <t>Yes</t>
        </is>
      </c>
      <c r="J2" s="9" t="n"/>
      <c r="K2" s="9" t="inlineStr">
        <is>
          <t>tests/auth/login/TC-LOGIN-01_login-success.robot</t>
        </is>
      </c>
      <c r="L2" s="9" t="inlineStr">
        <is>
          <t>TD-30</t>
        </is>
      </c>
      <c r="M2" s="9" t="inlineStr">
        <is>
          <t>TD-30</t>
        </is>
      </c>
      <c r="N2" s="9" t="inlineStr">
        <is>
          <t>1.เปิด AuthModal 2.กรอก email+password ถูก 3.กดเข้าสู่ระบบ</t>
        </is>
      </c>
      <c r="O2" s="9" t="inlineStr">
        <is>
          <t>modal ปิด, modal สำเร็จ "เข้าสู่ระบบสำเร็จ", redirect /user-infos, header แสดงชื่อผู้ใช้</t>
        </is>
      </c>
      <c r="P2" s="9" t="inlineStr">
        <is>
          <t>LoginForm.tsx:62-81</t>
        </is>
      </c>
      <c r="Q2" s="9" t="n"/>
    </row>
    <row r="3">
      <c r="A3" s="9" t="inlineStr">
        <is>
          <t>TC-LOGIN-02</t>
        </is>
      </c>
      <c r="B3" s="9" t="inlineStr">
        <is>
          <t>Account / Auth</t>
        </is>
      </c>
      <c r="C3" s="9" t="inlineStr">
        <is>
          <t>Login</t>
        </is>
      </c>
      <c r="D3" s="9" t="inlineStr">
        <is>
          <t>ฟิลด์ว่าง</t>
        </is>
      </c>
      <c r="E3" s="9" t="inlineStr">
        <is>
          <t>UI</t>
        </is>
      </c>
      <c r="F3" s="9" t="inlineStr">
        <is>
          <t>Validation</t>
        </is>
      </c>
      <c r="G3" s="9" t="inlineStr">
        <is>
          <t>Medium</t>
        </is>
      </c>
      <c r="H3" s="9" t="inlineStr">
        <is>
          <t>Script Done</t>
        </is>
      </c>
      <c r="I3" s="9" t="inlineStr">
        <is>
          <t>Yes</t>
        </is>
      </c>
      <c r="J3" s="9" t="n"/>
      <c r="K3" s="9" t="inlineStr">
        <is>
          <t>tests/auth/login/TC-LOGIN-02_empty-fields.robot</t>
        </is>
      </c>
      <c r="L3" s="9" t="inlineStr">
        <is>
          <t>-</t>
        </is>
      </c>
      <c r="M3" s="9" t="n"/>
      <c r="N3" s="9" t="inlineStr">
        <is>
          <t>1.เว้น email/password 2.กดเข้าสู่ระบบ</t>
        </is>
      </c>
      <c r="O3" s="9" t="inlineStr">
        <is>
          <t>error "กรุณาระบุอีเมลและรหัสผ่าน", ไม่ยิง API</t>
        </is>
      </c>
      <c r="P3" s="9" t="inlineStr">
        <is>
          <t>LoginSchema</t>
        </is>
      </c>
      <c r="Q3" s="9" t="n"/>
    </row>
    <row r="4">
      <c r="A4" s="9" t="inlineStr">
        <is>
          <t>TC-LOGIN-03</t>
        </is>
      </c>
      <c r="B4" s="9" t="inlineStr">
        <is>
          <t>Account / Auth</t>
        </is>
      </c>
      <c r="C4" s="9" t="inlineStr">
        <is>
          <t>Login</t>
        </is>
      </c>
      <c r="D4" s="9" t="inlineStr">
        <is>
          <t>รหัส/อีเมลผิด</t>
        </is>
      </c>
      <c r="E4" s="9" t="inlineStr">
        <is>
          <t>UI</t>
        </is>
      </c>
      <c r="F4" s="9" t="inlineStr">
        <is>
          <t>Negative</t>
        </is>
      </c>
      <c r="G4" s="9" t="inlineStr">
        <is>
          <t>High</t>
        </is>
      </c>
      <c r="H4" s="9" t="inlineStr">
        <is>
          <t>Script Done</t>
        </is>
      </c>
      <c r="I4" s="9" t="inlineStr">
        <is>
          <t>Yes</t>
        </is>
      </c>
      <c r="J4" s="9" t="n"/>
      <c r="K4" s="9" t="inlineStr">
        <is>
          <t>tests/auth/login/TC-LOGIN-03_invalid-credentials.robot</t>
        </is>
      </c>
      <c r="L4" s="9" t="inlineStr">
        <is>
          <t>TD-30</t>
        </is>
      </c>
      <c r="M4" s="9" t="inlineStr">
        <is>
          <t>TD-30</t>
        </is>
      </c>
      <c r="N4" s="9" t="inlineStr">
        <is>
          <t>กรอก password ผิด → submit</t>
        </is>
      </c>
      <c r="O4" s="9" t="inlineStr">
        <is>
          <t>error "รหัสหรืออีเมลผู้ใช้ไม่ถูกต้อง", status=failed</t>
        </is>
      </c>
      <c r="P4" s="9" t="inlineStr">
        <is>
          <t>auth.ts:127-146</t>
        </is>
      </c>
      <c r="Q4" s="9" t="n"/>
    </row>
    <row r="5">
      <c r="A5" s="9" t="inlineStr">
        <is>
          <t>TC-LOGIN-04</t>
        </is>
      </c>
      <c r="B5" s="9" t="inlineStr">
        <is>
          <t>Account / Auth</t>
        </is>
      </c>
      <c r="C5" s="9" t="inlineStr">
        <is>
          <t>Login</t>
        </is>
      </c>
      <c r="D5" s="9" t="inlineStr">
        <is>
          <t>อีเมลยังไม่ยืนยัน</t>
        </is>
      </c>
      <c r="E5" s="9" t="inlineStr">
        <is>
          <t>UI</t>
        </is>
      </c>
      <c r="F5" s="9" t="inlineStr">
        <is>
          <t>Negative</t>
        </is>
      </c>
      <c r="G5" s="9" t="inlineStr">
        <is>
          <t>High</t>
        </is>
      </c>
      <c r="H5" s="9" t="inlineStr">
        <is>
          <t>Blocked</t>
        </is>
      </c>
      <c r="I5" s="9" t="inlineStr">
        <is>
          <t>Yes</t>
        </is>
      </c>
      <c r="J5" s="9" t="n"/>
      <c r="K5" s="9" t="inlineStr">
        <is>
          <t>tests/auth/login/TC-LOGIN-04_unverified-email.robot</t>
        </is>
      </c>
      <c r="L5" s="9" t="inlineStr">
        <is>
          <t>TD-31</t>
        </is>
      </c>
      <c r="M5" s="9" t="inlineStr">
        <is>
          <t>TD-31</t>
        </is>
      </c>
      <c r="N5" s="9" t="inlineStr">
        <is>
          <t>login ด้วย user ที่ยังไม่ยืนยัน</t>
        </is>
      </c>
      <c r="O5" s="9" t="inlineStr">
        <is>
          <t>error "อีเมลผู้ใช้ ยังไม่ได้ยืนยันตัวตน / กรุณาตรวจสอบอีเมล"</t>
        </is>
      </c>
      <c r="P5" s="9" t="inlineStr">
        <is>
          <t>LoginForm.tsx</t>
        </is>
      </c>
      <c r="Q5" s="9" t="n"/>
    </row>
    <row r="6">
      <c r="A6" s="9" t="inlineStr">
        <is>
          <t>TC-LOGIN-05</t>
        </is>
      </c>
      <c r="B6" s="9" t="inlineStr">
        <is>
          <t>Account / Auth</t>
        </is>
      </c>
      <c r="C6" s="9" t="inlineStr">
        <is>
          <t>Login</t>
        </is>
      </c>
      <c r="D6" s="9" t="inlineStr">
        <is>
          <t>Remember Me = ON</t>
        </is>
      </c>
      <c r="E6" s="9" t="inlineStr">
        <is>
          <t>UI</t>
        </is>
      </c>
      <c r="F6" s="9" t="inlineStr">
        <is>
          <t>Functional</t>
        </is>
      </c>
      <c r="G6" s="9" t="inlineStr">
        <is>
          <t>Medium</t>
        </is>
      </c>
      <c r="H6" s="9" t="inlineStr">
        <is>
          <t>Script Done</t>
        </is>
      </c>
      <c r="I6" s="9" t="inlineStr">
        <is>
          <t>Yes</t>
        </is>
      </c>
      <c r="J6" s="9" t="n"/>
      <c r="K6" s="9" t="inlineStr">
        <is>
          <t>tests/auth/login/TC-LOGIN-05_remember-me-on.robot</t>
        </is>
      </c>
      <c r="L6" s="9" t="inlineStr">
        <is>
          <t>TD-30</t>
        </is>
      </c>
      <c r="M6" s="9" t="inlineStr">
        <is>
          <t>TD-30</t>
        </is>
      </c>
      <c r="N6" s="9" t="inlineStr">
        <is>
          <t>ติ๊ก rememberMe → login → ปิด browser → เปิดใหม่</t>
        </is>
      </c>
      <c r="O6" s="9" t="inlineStr">
        <is>
          <t>token อยู่ใน localStorage, ยัง login ค้าง</t>
        </is>
      </c>
      <c r="P6" s="9" t="inlineStr">
        <is>
          <t>auth.ts:132</t>
        </is>
      </c>
      <c r="Q6" s="9" t="n"/>
    </row>
    <row r="7">
      <c r="A7" s="9" t="inlineStr">
        <is>
          <t>TC-LOGIN-06</t>
        </is>
      </c>
      <c r="B7" s="9" t="inlineStr">
        <is>
          <t>Account / Auth</t>
        </is>
      </c>
      <c r="C7" s="9" t="inlineStr">
        <is>
          <t>Login</t>
        </is>
      </c>
      <c r="D7" s="9" t="inlineStr">
        <is>
          <t>Remember Me = OFF</t>
        </is>
      </c>
      <c r="E7" s="9" t="inlineStr">
        <is>
          <t>UI</t>
        </is>
      </c>
      <c r="F7" s="9" t="inlineStr">
        <is>
          <t>Functional</t>
        </is>
      </c>
      <c r="G7" s="9" t="inlineStr">
        <is>
          <t>Medium</t>
        </is>
      </c>
      <c r="H7" s="9" t="inlineStr">
        <is>
          <t>Script Done</t>
        </is>
      </c>
      <c r="I7" s="9" t="inlineStr">
        <is>
          <t>Yes</t>
        </is>
      </c>
      <c r="J7" s="9" t="n"/>
      <c r="K7" s="9" t="inlineStr">
        <is>
          <t>tests/auth/login/TC-LOGIN-06_remember-me-off.robot</t>
        </is>
      </c>
      <c r="L7" s="9" t="inlineStr">
        <is>
          <t>TD-30</t>
        </is>
      </c>
      <c r="M7" s="9" t="inlineStr">
        <is>
          <t>TD-30</t>
        </is>
      </c>
      <c r="N7" s="9" t="inlineStr">
        <is>
          <t>ไม่ติ๊ก → login → refresh tab</t>
        </is>
      </c>
      <c r="O7" s="9" t="inlineStr">
        <is>
          <t>token อยู่ใน sessionStorage เท่านั้น</t>
        </is>
      </c>
      <c r="P7" s="9" t="inlineStr">
        <is>
          <t>auth.ts:132</t>
        </is>
      </c>
      <c r="Q7" s="9" t="n"/>
    </row>
    <row r="8">
      <c r="A8" s="9" t="inlineStr">
        <is>
          <t>TC-LOGIN-07</t>
        </is>
      </c>
      <c r="B8" s="9" t="inlineStr">
        <is>
          <t>Account / Auth</t>
        </is>
      </c>
      <c r="C8" s="9" t="inlineStr">
        <is>
          <t>Login</t>
        </is>
      </c>
      <c r="D8" s="9" t="inlineStr">
        <is>
          <t>guest cart sync หลัง login</t>
        </is>
      </c>
      <c r="E8" s="9" t="inlineStr">
        <is>
          <t>Integration</t>
        </is>
      </c>
      <c r="F8" s="9" t="inlineStr">
        <is>
          <t>Positive</t>
        </is>
      </c>
      <c r="G8" s="9" t="inlineStr">
        <is>
          <t>Medium</t>
        </is>
      </c>
      <c r="H8" s="9" t="inlineStr">
        <is>
          <t>Script Done</t>
        </is>
      </c>
      <c r="I8" s="9" t="inlineStr">
        <is>
          <t>Yes</t>
        </is>
      </c>
      <c r="J8" s="9" t="n"/>
      <c r="K8" s="9" t="inlineStr">
        <is>
          <t>tests/auth/login/TC-LOGIN-07_guest-cart-sync.robot</t>
        </is>
      </c>
      <c r="L8" s="9" t="inlineStr">
        <is>
          <t>TD-30 + มีของในตะกร้า (guest)</t>
        </is>
      </c>
      <c r="M8" s="9" t="inlineStr">
        <is>
          <t>TD-30</t>
        </is>
      </c>
      <c r="N8" s="9" t="inlineStr">
        <is>
          <t>เพิ่มสินค้าแบบ guest → login</t>
        </is>
      </c>
      <c r="O8" s="9" t="inlineStr">
        <is>
          <t>cart merge จาก user.cart ไม่หาย (synUserCart)</t>
        </is>
      </c>
      <c r="P8" s="9" t="inlineStr">
        <is>
          <t>LoginForm.tsx:64-66</t>
        </is>
      </c>
      <c r="Q8" s="9" t="n"/>
    </row>
    <row r="9">
      <c r="A9" s="9" t="inlineStr">
        <is>
          <t>TC-LOGIN-08</t>
        </is>
      </c>
      <c r="B9" s="9" t="inlineStr">
        <is>
          <t>Account / Auth</t>
        </is>
      </c>
      <c r="C9" s="9" t="inlineStr">
        <is>
          <t>Login</t>
        </is>
      </c>
      <c r="D9" s="9" t="inlineStr">
        <is>
          <t>กันกดซ้ำ</t>
        </is>
      </c>
      <c r="E9" s="9" t="inlineStr">
        <is>
          <t>UI</t>
        </is>
      </c>
      <c r="F9" s="9" t="inlineStr">
        <is>
          <t>Race</t>
        </is>
      </c>
      <c r="G9" s="9" t="inlineStr">
        <is>
          <t>Low</t>
        </is>
      </c>
      <c r="H9" s="9" t="inlineStr">
        <is>
          <t>Script Done</t>
        </is>
      </c>
      <c r="I9" s="9" t="inlineStr">
        <is>
          <t>Yes</t>
        </is>
      </c>
      <c r="J9" s="9" t="n"/>
      <c r="K9" s="9" t="inlineStr">
        <is>
          <t>tests/auth/login/TC-LOGIN-08_double-submit-guard.robot</t>
        </is>
      </c>
      <c r="L9" s="9" t="inlineStr">
        <is>
          <t>TD-30</t>
        </is>
      </c>
      <c r="M9" s="9" t="inlineStr">
        <is>
          <t>TD-30</t>
        </is>
      </c>
      <c r="N9" s="9" t="inlineStr">
        <is>
          <t>กดปุ่มเข้าสู่ระบบรัว</t>
        </is>
      </c>
      <c r="O9" s="9" t="inlineStr">
        <is>
          <t>ปุ่ม disable ("กำลังเข้าสู่ระบบ"), ยิง API ครั้งเดียว</t>
        </is>
      </c>
      <c r="P9" s="9" t="inlineStr">
        <is>
          <t>LoginForm.tsx</t>
        </is>
      </c>
      <c r="Q9" s="9" t="n"/>
    </row>
    <row r="10">
      <c r="A10" s="9" t="inlineStr">
        <is>
          <t>TC-REG-01</t>
        </is>
      </c>
      <c r="B10" s="9" t="inlineStr">
        <is>
          <t>Account / Auth</t>
        </is>
      </c>
      <c r="C10" s="9" t="inlineStr">
        <is>
          <t>Register</t>
        </is>
      </c>
      <c r="D10" s="9" t="inlineStr">
        <is>
          <t>สมัครสำเร็จ</t>
        </is>
      </c>
      <c r="E10" s="9" t="inlineStr">
        <is>
          <t>UI</t>
        </is>
      </c>
      <c r="F10" s="9" t="inlineStr">
        <is>
          <t>Positive</t>
        </is>
      </c>
      <c r="G10" s="9" t="inlineStr">
        <is>
          <t>High</t>
        </is>
      </c>
      <c r="H10" s="9" t="inlineStr">
        <is>
          <t>Script Done</t>
        </is>
      </c>
      <c r="I10" s="9" t="inlineStr">
        <is>
          <t>Yes</t>
        </is>
      </c>
      <c r="J10" s="9" t="n"/>
      <c r="K10" s="9" t="inlineStr">
        <is>
          <t>tests/auth/register/TC-REG-01_register-success.robot</t>
        </is>
      </c>
      <c r="L10" s="9" t="inlineStr">
        <is>
          <t>TD-32</t>
        </is>
      </c>
      <c r="M10" s="9" t="inlineStr">
        <is>
          <t>TD-32</t>
        </is>
      </c>
      <c r="N10" s="9" t="inlineStr">
        <is>
          <t>กรอก email ใหม่ + password ผ่านกฎ + ติ๊ก privacy → สมัคร</t>
        </is>
      </c>
      <c r="O10" s="9" t="inlineStr">
        <is>
          <t>modal สำเร็จ "ลงทะเบียนสำเร็จ / กรุณาตรวจสอบอีเมลเพื่อยืนยัน", ไม่ auto-login</t>
        </is>
      </c>
      <c r="P10" s="9" t="inlineStr">
        <is>
          <t>RegisterForm.tsx:46-55</t>
        </is>
      </c>
      <c r="Q10" s="9" t="n"/>
    </row>
    <row r="11">
      <c r="A11" s="9" t="inlineStr">
        <is>
          <t>TC-REG-02</t>
        </is>
      </c>
      <c r="B11" s="9" t="inlineStr">
        <is>
          <t>Account / Auth</t>
        </is>
      </c>
      <c r="C11" s="9" t="inlineStr">
        <is>
          <t>Register</t>
        </is>
      </c>
      <c r="D11" s="9" t="inlineStr">
        <is>
          <t>email ซ้ำ</t>
        </is>
      </c>
      <c r="E11" s="9" t="inlineStr">
        <is>
          <t>UI</t>
        </is>
      </c>
      <c r="F11" s="9" t="inlineStr">
        <is>
          <t>Negative</t>
        </is>
      </c>
      <c r="G11" s="9" t="inlineStr">
        <is>
          <t>High</t>
        </is>
      </c>
      <c r="H11" s="9" t="inlineStr">
        <is>
          <t>Script Done</t>
        </is>
      </c>
      <c r="I11" s="9" t="inlineStr">
        <is>
          <t>Yes</t>
        </is>
      </c>
      <c r="J11" s="9" t="n"/>
      <c r="K11" s="9" t="inlineStr">
        <is>
          <t>tests/auth/register/TC-REG-02_duplicate-email.robot</t>
        </is>
      </c>
      <c r="L11" s="9" t="inlineStr">
        <is>
          <t>TD-30</t>
        </is>
      </c>
      <c r="M11" s="9" t="inlineStr">
        <is>
          <t>TD-30</t>
        </is>
      </c>
      <c r="N11" s="9" t="inlineStr">
        <is>
          <t>สมัครด้วย email ที่มีแล้ว</t>
        </is>
      </c>
      <c r="O11" s="9" t="inlineStr">
        <is>
          <t>error จาก backend ใต้ช่อง email</t>
        </is>
      </c>
      <c r="P11" s="9" t="inlineStr">
        <is>
          <t>auth.ts:41-56</t>
        </is>
      </c>
      <c r="Q11" s="9" t="n"/>
    </row>
    <row r="12">
      <c r="A12" s="9" t="inlineStr">
        <is>
          <t>TC-REG-03</t>
        </is>
      </c>
      <c r="B12" s="9" t="inlineStr">
        <is>
          <t>Account / Auth</t>
        </is>
      </c>
      <c r="C12" s="9" t="inlineStr">
        <is>
          <t>Register</t>
        </is>
      </c>
      <c r="D12" s="9" t="inlineStr">
        <is>
          <t>password สั้น (&lt;8)</t>
        </is>
      </c>
      <c r="E12" s="9" t="inlineStr">
        <is>
          <t>UI</t>
        </is>
      </c>
      <c r="F12" s="9" t="inlineStr">
        <is>
          <t>Boundary</t>
        </is>
      </c>
      <c r="G12" s="9" t="inlineStr">
        <is>
          <t>High</t>
        </is>
      </c>
      <c r="H12" s="9" t="inlineStr">
        <is>
          <t>Script Done</t>
        </is>
      </c>
      <c r="I12" s="9" t="inlineStr">
        <is>
          <t>Yes</t>
        </is>
      </c>
      <c r="J12" s="9" t="n"/>
      <c r="K12" s="9" t="inlineStr">
        <is>
          <t>tests/auth/register/TC-REG-03_password-too-short.robot</t>
        </is>
      </c>
      <c r="L12" s="9" t="inlineStr">
        <is>
          <t>-</t>
        </is>
      </c>
      <c r="M12" s="9" t="n"/>
      <c r="N12" s="9" t="inlineStr">
        <is>
          <t>password 7 ตัว</t>
        </is>
      </c>
      <c r="O12" s="9" t="inlineStr">
        <is>
          <t>"รหัสผ่านต้องมีความยาวเกิน 8 ตัวอักษร"</t>
        </is>
      </c>
      <c r="P12" s="9" t="inlineStr">
        <is>
          <t>validation/checkout.ts:74-83</t>
        </is>
      </c>
      <c r="Q12" s="9" t="n"/>
    </row>
    <row r="13">
      <c r="A13" s="9" t="inlineStr">
        <is>
          <t>TC-REG-04</t>
        </is>
      </c>
      <c r="B13" s="9" t="inlineStr">
        <is>
          <t>Account / Auth</t>
        </is>
      </c>
      <c r="C13" s="9" t="inlineStr">
        <is>
          <t>Register</t>
        </is>
      </c>
      <c r="D13" s="9" t="inlineStr">
        <is>
          <t>password ยาว (&gt;16)</t>
        </is>
      </c>
      <c r="E13" s="9" t="inlineStr">
        <is>
          <t>UI</t>
        </is>
      </c>
      <c r="F13" s="9" t="inlineStr">
        <is>
          <t>Boundary</t>
        </is>
      </c>
      <c r="G13" s="9" t="inlineStr">
        <is>
          <t>Medium</t>
        </is>
      </c>
      <c r="H13" s="9" t="inlineStr">
        <is>
          <t>Script Done</t>
        </is>
      </c>
      <c r="I13" s="9" t="inlineStr">
        <is>
          <t>Yes</t>
        </is>
      </c>
      <c r="J13" s="9" t="n"/>
      <c r="K13" s="9" t="inlineStr">
        <is>
          <t>tests/auth/register/TC-REG-04_password-too-long.robot</t>
        </is>
      </c>
      <c r="L13" s="9" t="inlineStr">
        <is>
          <t>-</t>
        </is>
      </c>
      <c r="M13" s="9" t="n"/>
      <c r="N13" s="9" t="inlineStr">
        <is>
          <t>password 17 ตัว</t>
        </is>
      </c>
      <c r="O13" s="9" t="inlineStr">
        <is>
          <t>"รหัสผ่านมีความยาวเกิน 16 ตัวอักษร"</t>
        </is>
      </c>
      <c r="P13" s="9" t="inlineStr">
        <is>
          <t>validation/checkout.ts:74-83</t>
        </is>
      </c>
      <c r="Q13" s="9" t="n"/>
    </row>
    <row r="14">
      <c r="A14" s="9" t="inlineStr">
        <is>
          <t>TC-REG-05</t>
        </is>
      </c>
      <c r="B14" s="9" t="inlineStr">
        <is>
          <t>Account / Auth</t>
        </is>
      </c>
      <c r="C14" s="9" t="inlineStr">
        <is>
          <t>Register</t>
        </is>
      </c>
      <c r="D14" s="9" t="inlineStr">
        <is>
          <t>ขาดพิมพ์ใหญ่</t>
        </is>
      </c>
      <c r="E14" s="9" t="inlineStr">
        <is>
          <t>UI</t>
        </is>
      </c>
      <c r="F14" s="9" t="inlineStr">
        <is>
          <t>Validation</t>
        </is>
      </c>
      <c r="G14" s="9" t="inlineStr">
        <is>
          <t>Medium</t>
        </is>
      </c>
      <c r="H14" s="9" t="inlineStr">
        <is>
          <t>Script Done</t>
        </is>
      </c>
      <c r="I14" s="9" t="inlineStr">
        <is>
          <t>Yes</t>
        </is>
      </c>
      <c r="J14" s="9" t="n"/>
      <c r="K14" s="9" t="inlineStr">
        <is>
          <t>tests/auth/register/TC-REG-05_password-no-uppercase.robot</t>
        </is>
      </c>
      <c r="L14" s="9" t="inlineStr">
        <is>
          <t>-</t>
        </is>
      </c>
      <c r="M14" s="9" t="n"/>
      <c r="N14" s="9" t="inlineStr">
        <is>
          <t>password ไม่มี A-Z</t>
        </is>
      </c>
      <c r="O14" s="9" t="inlineStr">
        <is>
          <t>"รหัสผ่านต้องมีตัวอักษรพิมพ์ใหญ่อย่างน้อย 1 ตัว"</t>
        </is>
      </c>
      <c r="P14" s="9" t="inlineStr">
        <is>
          <t>validation/checkout.ts:74-83</t>
        </is>
      </c>
      <c r="Q14" s="9" t="n"/>
    </row>
    <row r="15">
      <c r="A15" s="9" t="inlineStr">
        <is>
          <t>TC-REG-06</t>
        </is>
      </c>
      <c r="B15" s="9" t="inlineStr">
        <is>
          <t>Account / Auth</t>
        </is>
      </c>
      <c r="C15" s="9" t="inlineStr">
        <is>
          <t>Register</t>
        </is>
      </c>
      <c r="D15" s="9" t="inlineStr">
        <is>
          <t>ขาดพิมพ์เล็ก</t>
        </is>
      </c>
      <c r="E15" s="9" t="inlineStr">
        <is>
          <t>UI</t>
        </is>
      </c>
      <c r="F15" s="9" t="inlineStr">
        <is>
          <t>Validation</t>
        </is>
      </c>
      <c r="G15" s="9" t="inlineStr">
        <is>
          <t>Medium</t>
        </is>
      </c>
      <c r="H15" s="9" t="inlineStr">
        <is>
          <t>Script Done</t>
        </is>
      </c>
      <c r="I15" s="9" t="inlineStr">
        <is>
          <t>Yes</t>
        </is>
      </c>
      <c r="J15" s="9" t="n"/>
      <c r="K15" s="9" t="inlineStr">
        <is>
          <t>tests/auth/register/TC-REG-06_password-no-lowercase.robot</t>
        </is>
      </c>
      <c r="L15" s="9" t="inlineStr">
        <is>
          <t>-</t>
        </is>
      </c>
      <c r="M15" s="9" t="n"/>
      <c r="N15" s="9" t="inlineStr">
        <is>
          <t>ไม่มี a-z</t>
        </is>
      </c>
      <c r="O15" s="9" t="inlineStr">
        <is>
          <t>"...พิมพ์เล็กอย่างน้อย 1 ตัว"</t>
        </is>
      </c>
      <c r="P15" s="9" t="inlineStr">
        <is>
          <t>validation/checkout.ts:74-83</t>
        </is>
      </c>
      <c r="Q15" s="9" t="n"/>
    </row>
    <row r="16">
      <c r="A16" s="9" t="inlineStr">
        <is>
          <t>TC-REG-07</t>
        </is>
      </c>
      <c r="B16" s="9" t="inlineStr">
        <is>
          <t>Account / Auth</t>
        </is>
      </c>
      <c r="C16" s="9" t="inlineStr">
        <is>
          <t>Register</t>
        </is>
      </c>
      <c r="D16" s="9" t="inlineStr">
        <is>
          <t>ขาดตัวเลข</t>
        </is>
      </c>
      <c r="E16" s="9" t="inlineStr">
        <is>
          <t>UI</t>
        </is>
      </c>
      <c r="F16" s="9" t="inlineStr">
        <is>
          <t>Validation</t>
        </is>
      </c>
      <c r="G16" s="9" t="inlineStr">
        <is>
          <t>Medium</t>
        </is>
      </c>
      <c r="H16" s="9" t="inlineStr">
        <is>
          <t>Script Done</t>
        </is>
      </c>
      <c r="I16" s="9" t="inlineStr">
        <is>
          <t>Yes</t>
        </is>
      </c>
      <c r="J16" s="9" t="n"/>
      <c r="K16" s="9" t="inlineStr">
        <is>
          <t>tests/auth/register/TC-REG-07_password-no-digit.robot</t>
        </is>
      </c>
      <c r="L16" s="9" t="inlineStr">
        <is>
          <t>-</t>
        </is>
      </c>
      <c r="M16" s="9" t="n"/>
      <c r="N16" s="9" t="inlineStr">
        <is>
          <t>ไม่มี 0-9</t>
        </is>
      </c>
      <c r="O16" s="9" t="inlineStr">
        <is>
          <t>"...ตัวเลขอย่างน้อย 1 ตัว"</t>
        </is>
      </c>
      <c r="P16" s="9" t="inlineStr">
        <is>
          <t>validation/checkout.ts:74-83</t>
        </is>
      </c>
      <c r="Q16" s="9" t="n"/>
    </row>
    <row r="17">
      <c r="A17" s="9" t="inlineStr">
        <is>
          <t>TC-REG-08</t>
        </is>
      </c>
      <c r="B17" s="9" t="inlineStr">
        <is>
          <t>Account / Auth</t>
        </is>
      </c>
      <c r="C17" s="9" t="inlineStr">
        <is>
          <t>Register</t>
        </is>
      </c>
      <c r="D17" s="9" t="inlineStr">
        <is>
          <t>ขาดอักขระพิเศษ</t>
        </is>
      </c>
      <c r="E17" s="9" t="inlineStr">
        <is>
          <t>UI</t>
        </is>
      </c>
      <c r="F17" s="9" t="inlineStr">
        <is>
          <t>Validation</t>
        </is>
      </c>
      <c r="G17" s="9" t="inlineStr">
        <is>
          <t>Medium</t>
        </is>
      </c>
      <c r="H17" s="9" t="inlineStr">
        <is>
          <t>Script Done</t>
        </is>
      </c>
      <c r="I17" s="9" t="inlineStr">
        <is>
          <t>Yes</t>
        </is>
      </c>
      <c r="J17" s="9" t="n"/>
      <c r="K17" s="9" t="inlineStr">
        <is>
          <t>tests/auth/register/TC-REG-08_password-no-special.robot</t>
        </is>
      </c>
      <c r="L17" s="9" t="inlineStr">
        <is>
          <t>-</t>
        </is>
      </c>
      <c r="M17" s="9" t="n"/>
      <c r="N17" s="9" t="inlineStr">
        <is>
          <t>ไม่มี special char</t>
        </is>
      </c>
      <c r="O17" s="9" t="inlineStr">
        <is>
          <t>"...อักขระพิเศษอย่างน้อย 1 ตัว"</t>
        </is>
      </c>
      <c r="P17" s="9" t="inlineStr">
        <is>
          <t>validation/checkout.ts:74-83</t>
        </is>
      </c>
      <c r="Q17" s="9" t="n"/>
    </row>
    <row r="18">
      <c r="A18" s="9" t="inlineStr">
        <is>
          <t>TC-REG-09</t>
        </is>
      </c>
      <c r="B18" s="9" t="inlineStr">
        <is>
          <t>Account / Auth</t>
        </is>
      </c>
      <c r="C18" s="9" t="inlineStr">
        <is>
          <t>Register</t>
        </is>
      </c>
      <c r="D18" s="9" t="inlineStr">
        <is>
          <t>มีช่องว่าง</t>
        </is>
      </c>
      <c r="E18" s="9" t="inlineStr">
        <is>
          <t>UI</t>
        </is>
      </c>
      <c r="F18" s="9" t="inlineStr">
        <is>
          <t>Validation</t>
        </is>
      </c>
      <c r="G18" s="9" t="inlineStr">
        <is>
          <t>Medium</t>
        </is>
      </c>
      <c r="H18" s="9" t="inlineStr">
        <is>
          <t>Script Done</t>
        </is>
      </c>
      <c r="I18" s="9" t="inlineStr">
        <is>
          <t>Yes</t>
        </is>
      </c>
      <c r="J18" s="9" t="n"/>
      <c r="K18" s="9" t="inlineStr">
        <is>
          <t>tests/auth/register/TC-REG-09_password-has-space.robot</t>
        </is>
      </c>
      <c r="L18" s="9" t="inlineStr">
        <is>
          <t>-</t>
        </is>
      </c>
      <c r="M18" s="9" t="n"/>
      <c r="N18" s="9" t="inlineStr">
        <is>
          <t>password มี space</t>
        </is>
      </c>
      <c r="O18" s="9" t="inlineStr">
        <is>
          <t>"รหัสผ่านต้องไม่มีช่องว่าง"</t>
        </is>
      </c>
      <c r="P18" s="9" t="inlineStr">
        <is>
          <t>validation/checkout.ts:74-83</t>
        </is>
      </c>
      <c r="Q18" s="9" t="n"/>
    </row>
    <row r="19">
      <c r="A19" s="9" t="inlineStr">
        <is>
          <t>TC-REG-10</t>
        </is>
      </c>
      <c r="B19" s="9" t="inlineStr">
        <is>
          <t>Account / Auth</t>
        </is>
      </c>
      <c r="C19" s="9" t="inlineStr">
        <is>
          <t>Register</t>
        </is>
      </c>
      <c r="D19" s="9" t="inlineStr">
        <is>
          <t>email format ผิด</t>
        </is>
      </c>
      <c r="E19" s="9" t="inlineStr">
        <is>
          <t>UI</t>
        </is>
      </c>
      <c r="F19" s="9" t="inlineStr">
        <is>
          <t>Validation</t>
        </is>
      </c>
      <c r="G19" s="9" t="inlineStr">
        <is>
          <t>Medium</t>
        </is>
      </c>
      <c r="H19" s="9" t="inlineStr">
        <is>
          <t>Script Done</t>
        </is>
      </c>
      <c r="I19" s="9" t="inlineStr">
        <is>
          <t>Yes</t>
        </is>
      </c>
      <c r="J19" s="9" t="n"/>
      <c r="K19" s="9" t="inlineStr">
        <is>
          <t>tests/auth/register/TC-REG-10_invalid-email-format.robot</t>
        </is>
      </c>
      <c r="L19" s="9" t="inlineStr">
        <is>
          <t>-</t>
        </is>
      </c>
      <c r="M19" s="9" t="n"/>
      <c r="N19" s="9" t="inlineStr">
        <is>
          <t>"abc", "a@", มี space</t>
        </is>
      </c>
      <c r="O19" s="9" t="inlineStr">
        <is>
          <t>"กรุณากรอกอีเมลที่ถูกต้อง" / "ไม่สามารถใส่ค่าว่างใน Email ได้"</t>
        </is>
      </c>
      <c r="P19" s="9" t="inlineStr">
        <is>
          <t>validation/checkout.ts</t>
        </is>
      </c>
      <c r="Q19" s="9" t="n"/>
    </row>
    <row r="20">
      <c r="A20" s="9" t="inlineStr">
        <is>
          <t>TC-REG-11</t>
        </is>
      </c>
      <c r="B20" s="9" t="inlineStr">
        <is>
          <t>Account / Auth</t>
        </is>
      </c>
      <c r="C20" s="9" t="inlineStr">
        <is>
          <t>Register</t>
        </is>
      </c>
      <c r="D20" s="9" t="inlineStr">
        <is>
          <t>ไม่ติ๊ก privacy</t>
        </is>
      </c>
      <c r="E20" s="9" t="inlineStr">
        <is>
          <t>UI</t>
        </is>
      </c>
      <c r="F20" s="9" t="inlineStr">
        <is>
          <t>Validation</t>
        </is>
      </c>
      <c r="G20" s="9" t="inlineStr">
        <is>
          <t>High</t>
        </is>
      </c>
      <c r="H20" s="9" t="inlineStr">
        <is>
          <t>Script Done</t>
        </is>
      </c>
      <c r="I20" s="9" t="inlineStr">
        <is>
          <t>Yes</t>
        </is>
      </c>
      <c r="J20" s="9" t="n"/>
      <c r="K20" s="9" t="inlineStr">
        <is>
          <t>tests/auth/register/TC-REG-11_privacy-not-accepted.robot</t>
        </is>
      </c>
      <c r="L20" s="9" t="inlineStr">
        <is>
          <t>-</t>
        </is>
      </c>
      <c r="M20" s="9" t="n"/>
      <c r="N20" s="9" t="inlineStr">
        <is>
          <t>กรอกครบ ไม่ติ๊ก → สมัคร</t>
        </is>
      </c>
      <c r="O20" s="9" t="inlineStr">
        <is>
          <t>"กรุณายอมรับนโยบายความเป็นส่วนตัว"</t>
        </is>
      </c>
      <c r="P20" s="9" t="inlineStr">
        <is>
          <t>RegisterSchema</t>
        </is>
      </c>
      <c r="Q20" s="9" t="n"/>
    </row>
    <row r="21">
      <c r="A21" s="9" t="inlineStr">
        <is>
          <t>TC-REG-12</t>
        </is>
      </c>
      <c r="B21" s="9" t="inlineStr">
        <is>
          <t>Account / Auth</t>
        </is>
      </c>
      <c r="C21" s="9" t="inlineStr">
        <is>
          <t>Register</t>
        </is>
      </c>
      <c r="D21" s="9" t="inlineStr">
        <is>
          <t>toggle show password</t>
        </is>
      </c>
      <c r="E21" s="9" t="inlineStr">
        <is>
          <t>UI</t>
        </is>
      </c>
      <c r="F21" s="9" t="inlineStr">
        <is>
          <t>Functional</t>
        </is>
      </c>
      <c r="G21" s="9" t="inlineStr">
        <is>
          <t>Low</t>
        </is>
      </c>
      <c r="H21" s="9" t="inlineStr">
        <is>
          <t>Script Done</t>
        </is>
      </c>
      <c r="I21" s="9" t="inlineStr">
        <is>
          <t>Yes</t>
        </is>
      </c>
      <c r="J21" s="9" t="n"/>
      <c r="K21" s="9" t="inlineStr">
        <is>
          <t>tests/auth/register/TC-REG-12_toggle-password-visibility.robot</t>
        </is>
      </c>
      <c r="L21" s="9" t="inlineStr">
        <is>
          <t>-</t>
        </is>
      </c>
      <c r="M21" s="9" t="n"/>
      <c r="N21" s="9" t="inlineStr">
        <is>
          <t>คลิก eye icon</t>
        </is>
      </c>
      <c r="O21" s="9" t="inlineStr">
        <is>
          <t>สลับ password ↔ text</t>
        </is>
      </c>
      <c r="P21" s="9" t="inlineStr">
        <is>
          <t>RegisterForm.tsx</t>
        </is>
      </c>
      <c r="Q21" s="9" t="n"/>
    </row>
    <row r="22">
      <c r="A22" s="9" t="inlineStr">
        <is>
          <t>TC-REG-13</t>
        </is>
      </c>
      <c r="B22" s="9" t="inlineStr">
        <is>
          <t>Account / Auth</t>
        </is>
      </c>
      <c r="C22" s="9" t="inlineStr">
        <is>
          <t>Register</t>
        </is>
      </c>
      <c r="D22" s="9" t="inlineStr">
        <is>
          <t>privacy link เปิดแท็บใหม่</t>
        </is>
      </c>
      <c r="E22" s="9" t="inlineStr">
        <is>
          <t>UI</t>
        </is>
      </c>
      <c r="F22" s="9" t="inlineStr">
        <is>
          <t>Functional</t>
        </is>
      </c>
      <c r="G22" s="9" t="inlineStr">
        <is>
          <t>Low</t>
        </is>
      </c>
      <c r="H22" s="9" t="inlineStr">
        <is>
          <t>Script Done</t>
        </is>
      </c>
      <c r="I22" s="9" t="inlineStr">
        <is>
          <t>Yes</t>
        </is>
      </c>
      <c r="J22" s="9" t="n"/>
      <c r="K22" s="9" t="inlineStr">
        <is>
          <t>tests/auth/register/TC-REG-13_privacy-link-new-tab.robot</t>
        </is>
      </c>
      <c r="L22" s="9" t="inlineStr">
        <is>
          <t>-</t>
        </is>
      </c>
      <c r="M22" s="9" t="n"/>
      <c r="N22" s="9" t="inlineStr">
        <is>
          <t>คลิกลิงก์นโยบาย</t>
        </is>
      </c>
      <c r="O22" s="9" t="inlineStr">
        <is>
          <t>เปิด /นโยบายความเป็นส่วนตัว/ target=_blank</t>
        </is>
      </c>
      <c r="P22" s="9" t="inlineStr">
        <is>
          <t>RegisterForm.tsx</t>
        </is>
      </c>
      <c r="Q22" s="9" t="n"/>
    </row>
    <row r="23">
      <c r="A23" s="9" t="inlineStr">
        <is>
          <t>TC-CFM-01</t>
        </is>
      </c>
      <c r="B23" s="9" t="inlineStr">
        <is>
          <t>Account / Auth</t>
        </is>
      </c>
      <c r="C23" s="9" t="inlineStr">
        <is>
          <t>Email Confirm</t>
        </is>
      </c>
      <c r="D23" s="9" t="inlineStr">
        <is>
          <t>token ถูก</t>
        </is>
      </c>
      <c r="E23" s="9" t="inlineStr">
        <is>
          <t>UI</t>
        </is>
      </c>
      <c r="F23" s="9" t="inlineStr">
        <is>
          <t>Positive</t>
        </is>
      </c>
      <c r="G23" s="9" t="inlineStr">
        <is>
          <t>High</t>
        </is>
      </c>
      <c r="H23" s="9" t="inlineStr">
        <is>
          <t>Not Started</t>
        </is>
      </c>
      <c r="I23" s="9" t="inlineStr">
        <is>
          <t>Yes</t>
        </is>
      </c>
      <c r="J23" s="9" t="n"/>
      <c r="K23" s="9" t="n"/>
      <c r="L23" s="9" t="inlineStr">
        <is>
          <t>TD-33 valid</t>
        </is>
      </c>
      <c r="M23" s="9" t="inlineStr">
        <is>
          <t>TD-33</t>
        </is>
      </c>
      <c r="N23" s="9" t="inlineStr">
        <is>
          <t>เปิดลิงก์จากเมล</t>
        </is>
      </c>
      <c r="O23" s="9" t="inlineStr">
        <is>
          <t>"ยืนยันอีเมลสำเร็จ" + countdown 5→0 → redirect /</t>
        </is>
      </c>
      <c r="P23" s="9" t="inlineStr">
        <is>
          <t>user-confirm-email/Content.tsx:16-35</t>
        </is>
      </c>
      <c r="Q23" s="9" t="n"/>
    </row>
    <row r="24">
      <c r="A24" s="9" t="inlineStr">
        <is>
          <t>TC-CFM-02</t>
        </is>
      </c>
      <c r="B24" s="9" t="inlineStr">
        <is>
          <t>Account / Auth</t>
        </is>
      </c>
      <c r="C24" s="9" t="inlineStr">
        <is>
          <t>Email Confirm</t>
        </is>
      </c>
      <c r="D24" s="9" t="inlineStr">
        <is>
          <t>ไม่มี token</t>
        </is>
      </c>
      <c r="E24" s="9" t="inlineStr">
        <is>
          <t>UI</t>
        </is>
      </c>
      <c r="F24" s="9" t="inlineStr">
        <is>
          <t>Negative</t>
        </is>
      </c>
      <c r="G24" s="9" t="inlineStr">
        <is>
          <t>Medium</t>
        </is>
      </c>
      <c r="H24" s="9" t="inlineStr">
        <is>
          <t>Not Started</t>
        </is>
      </c>
      <c r="I24" s="9" t="inlineStr">
        <is>
          <t>Yes</t>
        </is>
      </c>
      <c r="J24" s="9" t="n"/>
      <c r="K24" s="9" t="n"/>
      <c r="L24" s="9" t="inlineStr">
        <is>
          <t>-</t>
        </is>
      </c>
      <c r="M24" s="9" t="n"/>
      <c r="N24" s="9" t="inlineStr">
        <is>
          <t>เปิด /user-confirm-email ไม่มี k</t>
        </is>
      </c>
      <c r="O24" s="9" t="inlineStr">
        <is>
          <t>DEF-A1: หน้าเงียบ ไม่มีข้อความ (ควรมี error) — flag UX</t>
        </is>
      </c>
      <c r="P24" s="9" t="inlineStr">
        <is>
          <t>user-confirm-email/Content.tsx</t>
        </is>
      </c>
      <c r="Q24" s="9" t="inlineStr">
        <is>
          <t>DEF-A1</t>
        </is>
      </c>
    </row>
    <row r="25">
      <c r="A25" s="9" t="inlineStr">
        <is>
          <t>TC-CFM-03</t>
        </is>
      </c>
      <c r="B25" s="9" t="inlineStr">
        <is>
          <t>Account / Auth</t>
        </is>
      </c>
      <c r="C25" s="9" t="inlineStr">
        <is>
          <t>Email Confirm</t>
        </is>
      </c>
      <c r="D25" s="9" t="inlineStr">
        <is>
          <t>token ผิด/หมดอายุ</t>
        </is>
      </c>
      <c r="E25" s="9" t="inlineStr">
        <is>
          <t>UI</t>
        </is>
      </c>
      <c r="F25" s="9" t="inlineStr">
        <is>
          <t>Negative</t>
        </is>
      </c>
      <c r="G25" s="9" t="inlineStr">
        <is>
          <t>Medium</t>
        </is>
      </c>
      <c r="H25" s="9" t="inlineStr">
        <is>
          <t>Not Started</t>
        </is>
      </c>
      <c r="I25" s="9" t="inlineStr">
        <is>
          <t>Yes</t>
        </is>
      </c>
      <c r="J25" s="9" t="n"/>
      <c r="K25" s="9" t="n"/>
      <c r="L25" s="9" t="inlineStr">
        <is>
          <t>TD-33 expired</t>
        </is>
      </c>
      <c r="M25" s="9" t="inlineStr">
        <is>
          <t>TD-33</t>
        </is>
      </c>
      <c r="N25" s="9" t="inlineStr">
        <is>
          <t>เปิดลิงก์ token ปลอม</t>
        </is>
      </c>
      <c r="O25" s="9" t="inlineStr">
        <is>
          <t>API fail → ปัจจุบันเงียบ — flag</t>
        </is>
      </c>
      <c r="P25" s="9" t="inlineStr">
        <is>
          <t>user-confirm-email/Content.tsx</t>
        </is>
      </c>
      <c r="Q25" s="9" t="inlineStr">
        <is>
          <t>DEF-A1</t>
        </is>
      </c>
    </row>
    <row r="26">
      <c r="A26" s="9" t="inlineStr">
        <is>
          <t>TC-CFM-04</t>
        </is>
      </c>
      <c r="B26" s="9" t="inlineStr">
        <is>
          <t>Account / Auth</t>
        </is>
      </c>
      <c r="C26" s="9" t="inlineStr">
        <is>
          <t>Email Confirm</t>
        </is>
      </c>
      <c r="D26" s="9" t="inlineStr">
        <is>
          <t>ยืนยันซ้ำ</t>
        </is>
      </c>
      <c r="E26" s="9" t="inlineStr">
        <is>
          <t>API</t>
        </is>
      </c>
      <c r="F26" s="9" t="inlineStr">
        <is>
          <t>Negative</t>
        </is>
      </c>
      <c r="G26" s="9" t="inlineStr">
        <is>
          <t>Low</t>
        </is>
      </c>
      <c r="H26" s="9" t="inlineStr">
        <is>
          <t>Not Started</t>
        </is>
      </c>
      <c r="I26" s="9" t="inlineStr">
        <is>
          <t>Yes</t>
        </is>
      </c>
      <c r="J26" s="9" t="n"/>
      <c r="K26" s="9" t="n"/>
      <c r="L26" s="9" t="inlineStr">
        <is>
          <t>TD-33 used</t>
        </is>
      </c>
      <c r="M26" s="9" t="inlineStr">
        <is>
          <t>TD-33</t>
        </is>
      </c>
      <c r="N26" s="9" t="inlineStr">
        <is>
          <t>เรียก confirm ซ้ำ</t>
        </is>
      </c>
      <c r="O26" s="9" t="inlineStr">
        <is>
          <t>idempotent หรือ error ไม่ crash</t>
        </is>
      </c>
      <c r="P26" s="9" t="inlineStr">
        <is>
          <t>confirm-email endpoint</t>
        </is>
      </c>
      <c r="Q26" s="9" t="n"/>
    </row>
    <row r="27">
      <c r="A27" s="9" t="inlineStr">
        <is>
          <t>TC-CFM-05</t>
        </is>
      </c>
      <c r="B27" s="9" t="inlineStr">
        <is>
          <t>Account / Auth</t>
        </is>
      </c>
      <c r="C27" s="9" t="inlineStr">
        <is>
          <t>Email Confirm</t>
        </is>
      </c>
      <c r="D27" s="9" t="inlineStr">
        <is>
          <t>navigate ออกระหว่าง countdown</t>
        </is>
      </c>
      <c r="E27" s="9" t="inlineStr">
        <is>
          <t>UI</t>
        </is>
      </c>
      <c r="F27" s="9" t="inlineStr">
        <is>
          <t>Functional</t>
        </is>
      </c>
      <c r="G27" s="9" t="inlineStr">
        <is>
          <t>Low</t>
        </is>
      </c>
      <c r="H27" s="9" t="inlineStr">
        <is>
          <t>Not Started</t>
        </is>
      </c>
      <c r="I27" s="9" t="inlineStr">
        <is>
          <t>Partial</t>
        </is>
      </c>
      <c r="J27" s="9" t="n"/>
      <c r="K27" s="9" t="n"/>
      <c r="L27" s="9" t="inlineStr">
        <is>
          <t>TD-33 valid</t>
        </is>
      </c>
      <c r="M27" s="9" t="inlineStr">
        <is>
          <t>TD-33</t>
        </is>
      </c>
      <c r="N27" s="9" t="inlineStr">
        <is>
          <t>ยืนยันสำเร็จ → คลิกออกก่อนครบ 5 วิ</t>
        </is>
      </c>
      <c r="O27" s="9" t="inlineStr">
        <is>
          <t>timer clear ไม่ redirect ทับ</t>
        </is>
      </c>
      <c r="P27" s="9" t="inlineStr">
        <is>
          <t>useEffect cleanup</t>
        </is>
      </c>
      <c r="Q27" s="9" t="n"/>
    </row>
    <row r="28">
      <c r="A28" s="9" t="inlineStr">
        <is>
          <t>TC-FGT-01</t>
        </is>
      </c>
      <c r="B28" s="9" t="inlineStr">
        <is>
          <t>Account / Auth</t>
        </is>
      </c>
      <c r="C28" s="9" t="inlineStr">
        <is>
          <t>Forgot Password</t>
        </is>
      </c>
      <c r="D28" s="9" t="inlineStr">
        <is>
          <t>ส่งลิงก์สำเร็จ</t>
        </is>
      </c>
      <c r="E28" s="9" t="inlineStr">
        <is>
          <t>UI</t>
        </is>
      </c>
      <c r="F28" s="9" t="inlineStr">
        <is>
          <t>Positive</t>
        </is>
      </c>
      <c r="G28" s="9" t="inlineStr">
        <is>
          <t>High</t>
        </is>
      </c>
      <c r="H28" s="9" t="inlineStr">
        <is>
          <t>Script Done</t>
        </is>
      </c>
      <c r="I28" s="9" t="inlineStr">
        <is>
          <t>Yes</t>
        </is>
      </c>
      <c r="J28" s="9" t="n"/>
      <c r="K28" s="9" t="inlineStr">
        <is>
          <t>tests/auth/forget/TC-FGT-01_send-reset-link-success.robot — PASS (ส่งอีเมลจริงไป TD-30)</t>
        </is>
      </c>
      <c r="L28" s="9" t="inlineStr">
        <is>
          <t>TD-30</t>
        </is>
      </c>
      <c r="M28" s="9" t="inlineStr">
        <is>
          <t>TD-30</t>
        </is>
      </c>
      <c r="N28" s="9" t="inlineStr">
        <is>
          <t>กรอก email → ส่ง</t>
        </is>
      </c>
      <c r="O28" s="9" t="inlineStr">
        <is>
          <t>"ส่งลิงก์สำเร็จ กรุณาตรวจสอบอีเมล", ฟอร์มซ่อน</t>
        </is>
      </c>
      <c r="P28" s="9" t="inlineStr">
        <is>
          <t>forget-password/page.tsx:14-31</t>
        </is>
      </c>
      <c r="Q28" s="9" t="n"/>
    </row>
    <row r="29">
      <c r="A29" s="9" t="inlineStr">
        <is>
          <t>TC-FGT-02</t>
        </is>
      </c>
      <c r="B29" s="9" t="inlineStr">
        <is>
          <t>Account / Auth</t>
        </is>
      </c>
      <c r="C29" s="9" t="inlineStr">
        <is>
          <t>Forgot Password</t>
        </is>
      </c>
      <c r="D29" s="9" t="inlineStr">
        <is>
          <t>error path</t>
        </is>
      </c>
      <c r="E29" s="9" t="inlineStr">
        <is>
          <t>UI</t>
        </is>
      </c>
      <c r="F29" s="9" t="inlineStr">
        <is>
          <t>Negative</t>
        </is>
      </c>
      <c r="G29" s="9" t="inlineStr">
        <is>
          <t>Medium</t>
        </is>
      </c>
      <c r="H29" s="9" t="inlineStr">
        <is>
          <t>Blocked</t>
        </is>
      </c>
      <c r="I29" s="9" t="inlineStr">
        <is>
          <t>Partial</t>
        </is>
      </c>
      <c r="J29" s="9" t="n"/>
      <c r="K29" s="9" t="inlineStr">
        <is>
          <t>error message ครอบโดย TC-FGT-03 แล้ว; การ mock 500 จริงรอ API track (RequestsLibrary/CDP)</t>
        </is>
      </c>
      <c r="L29" s="9" t="inlineStr">
        <is>
          <t>mock 500</t>
        </is>
      </c>
      <c r="M29" s="9" t="inlineStr">
        <is>
          <t>TD-24</t>
        </is>
      </c>
      <c r="N29" s="9" t="inlineStr">
        <is>
          <t>ทำให้ API error</t>
        </is>
      </c>
      <c r="O29" s="9" t="inlineStr">
        <is>
          <t>"เกิดข้อผิดพลาดในการส่งลิงก์ กรุณาลองใหม่อีกครั้ง"</t>
        </is>
      </c>
      <c r="P29" s="9" t="inlineStr">
        <is>
          <t>forget-password/page.tsx</t>
        </is>
      </c>
      <c r="Q29" s="9" t="n"/>
    </row>
    <row r="30">
      <c r="A30" s="9" t="inlineStr">
        <is>
          <t>TC-FGT-03</t>
        </is>
      </c>
      <c r="B30" s="9" t="inlineStr">
        <is>
          <t>Account / Auth</t>
        </is>
      </c>
      <c r="C30" s="9" t="inlineStr">
        <is>
          <t>Forgot Password</t>
        </is>
      </c>
      <c r="D30" s="9" t="inlineStr">
        <is>
          <t>ช่องว่าง/ไม่ใช่อีเมล</t>
        </is>
      </c>
      <c r="E30" s="9" t="inlineStr">
        <is>
          <t>UI/API</t>
        </is>
      </c>
      <c r="F30" s="9" t="inlineStr">
        <is>
          <t>Negative</t>
        </is>
      </c>
      <c r="G30" s="9" t="inlineStr">
        <is>
          <t>Medium</t>
        </is>
      </c>
      <c r="H30" s="9" t="inlineStr">
        <is>
          <t>Script Done</t>
        </is>
      </c>
      <c r="I30" s="9" t="inlineStr">
        <is>
          <t>Yes</t>
        </is>
      </c>
      <c r="J30" s="9" t="n"/>
      <c r="K30" s="9" t="inlineStr">
        <is>
          <t>tests/auth/forget/TC-FGT-03_invalid-email-error.robot — PASS (ครอบ error ของ FGT-02 ด้วย)</t>
        </is>
      </c>
      <c r="L30" s="9" t="inlineStr">
        <is>
          <t>-</t>
        </is>
      </c>
      <c r="M30" s="9" t="n"/>
      <c r="N30" s="9" t="inlineStr">
        <is>
          <t>กรอกว่าง/"abc" → ส่ง</t>
        </is>
      </c>
      <c r="O30" s="9" t="inlineStr">
        <is>
          <t>ไม่มี client validation → BE ต้องจัดการ (ตรวจ response)</t>
        </is>
      </c>
      <c r="P30" s="9" t="inlineStr">
        <is>
          <t>forget-password/page.tsx</t>
        </is>
      </c>
      <c r="Q30" s="9" t="n"/>
    </row>
    <row r="31">
      <c r="A31" s="9" t="inlineStr">
        <is>
          <t>TC-FGT-04</t>
        </is>
      </c>
      <c r="B31" s="9" t="inlineStr">
        <is>
          <t>Account / Auth</t>
        </is>
      </c>
      <c r="C31" s="9" t="inlineStr">
        <is>
          <t>Forgot Password</t>
        </is>
      </c>
      <c r="D31" s="9" t="inlineStr">
        <is>
          <t>กันกดซ้ำ</t>
        </is>
      </c>
      <c r="E31" s="9" t="inlineStr">
        <is>
          <t>UI</t>
        </is>
      </c>
      <c r="F31" s="9" t="inlineStr">
        <is>
          <t>Race</t>
        </is>
      </c>
      <c r="G31" s="9" t="inlineStr">
        <is>
          <t>Low</t>
        </is>
      </c>
      <c r="H31" s="9" t="inlineStr">
        <is>
          <t>Blocked</t>
        </is>
      </c>
      <c r="I31" s="9" t="inlineStr">
        <is>
          <t>Partial</t>
        </is>
      </c>
      <c r="J31" s="9" t="n"/>
      <c r="K31" s="9" t="inlineStr">
        <is>
          <t>FINDING: ปุ่มเปลี่ยน text เป็น "กำลังดำเนินการ" แต่ disabled=false (ไม่ได้กันกดซ้ำจริง) — ยืนยันกับ dev</t>
        </is>
      </c>
      <c r="L31" s="9" t="inlineStr">
        <is>
          <t>TD-30</t>
        </is>
      </c>
      <c r="M31" s="9" t="inlineStr">
        <is>
          <t>TD-30</t>
        </is>
      </c>
      <c r="N31" s="9" t="inlineStr">
        <is>
          <t>กดส่งรัว</t>
        </is>
      </c>
      <c r="O31" s="9" t="inlineStr">
        <is>
          <t>ปุ่ม disable ("กำลังดำเนินการ")</t>
        </is>
      </c>
      <c r="P31" s="9" t="inlineStr">
        <is>
          <t>forget-password/page.tsx</t>
        </is>
      </c>
      <c r="Q31" s="9" t="n"/>
    </row>
    <row r="32">
      <c r="A32" s="9" t="inlineStr">
        <is>
          <t>TC-RST-01</t>
        </is>
      </c>
      <c r="B32" s="9" t="inlineStr">
        <is>
          <t>Account / Auth</t>
        </is>
      </c>
      <c r="C32" s="9" t="inlineStr">
        <is>
          <t>Reset Password</t>
        </is>
      </c>
      <c r="D32" s="9" t="inlineStr">
        <is>
          <t>รีเซ็ตสำเร็จ</t>
        </is>
      </c>
      <c r="E32" s="9" t="inlineStr">
        <is>
          <t>UI</t>
        </is>
      </c>
      <c r="F32" s="9" t="inlineStr">
        <is>
          <t>Positive</t>
        </is>
      </c>
      <c r="G32" s="9" t="inlineStr">
        <is>
          <t>High</t>
        </is>
      </c>
      <c r="H32" s="9" t="inlineStr">
        <is>
          <t>Not Started</t>
        </is>
      </c>
      <c r="I32" s="9" t="inlineStr">
        <is>
          <t>Yes</t>
        </is>
      </c>
      <c r="J32" s="9" t="n"/>
      <c r="K32" s="9" t="n"/>
      <c r="L32" s="9" t="inlineStr">
        <is>
          <t>TD-34 valid</t>
        </is>
      </c>
      <c r="M32" s="9" t="inlineStr">
        <is>
          <t>TD-34</t>
        </is>
      </c>
      <c r="N32" s="9" t="inlineStr">
        <is>
          <t>เปิดลิงก์ → กรอกรหัสใหม่ → ยืนยัน</t>
        </is>
      </c>
      <c r="O32" s="9" t="inlineStr">
        <is>
          <t>"เปลี่ยนรหัสผ่านสำเร็จแล้ว"</t>
        </is>
      </c>
      <c r="P32" s="9" t="inlineStr">
        <is>
          <t>user-reset-password/Content.tsx:19-44</t>
        </is>
      </c>
      <c r="Q32" s="9" t="n"/>
    </row>
    <row r="33">
      <c r="A33" s="9" t="inlineStr">
        <is>
          <t>TC-RST-02</t>
        </is>
      </c>
      <c r="B33" s="9" t="inlineStr">
        <is>
          <t>Account / Auth</t>
        </is>
      </c>
      <c r="C33" s="9" t="inlineStr">
        <is>
          <t>Reset Password</t>
        </is>
      </c>
      <c r="D33" s="9" t="inlineStr">
        <is>
          <t>ไม่มี token</t>
        </is>
      </c>
      <c r="E33" s="9" t="inlineStr">
        <is>
          <t>UI</t>
        </is>
      </c>
      <c r="F33" s="9" t="inlineStr">
        <is>
          <t>Negative</t>
        </is>
      </c>
      <c r="G33" s="9" t="inlineStr">
        <is>
          <t>Medium</t>
        </is>
      </c>
      <c r="H33" s="9" t="inlineStr">
        <is>
          <t>Not Started</t>
        </is>
      </c>
      <c r="I33" s="9" t="inlineStr">
        <is>
          <t>Yes</t>
        </is>
      </c>
      <c r="J33" s="9" t="n"/>
      <c r="K33" s="9" t="n"/>
      <c r="L33" s="9" t="inlineStr">
        <is>
          <t>-</t>
        </is>
      </c>
      <c r="M33" s="9" t="n"/>
      <c r="N33" s="9" t="inlineStr">
        <is>
          <t>เปิดหน้าไม่มี k → submit</t>
        </is>
      </c>
      <c r="O33" s="9" t="inlineStr">
        <is>
          <t>alert("Token is missing in the URL")</t>
        </is>
      </c>
      <c r="P33" s="9" t="inlineStr">
        <is>
          <t>user-reset-password/Content.tsx</t>
        </is>
      </c>
      <c r="Q33" s="9" t="n"/>
    </row>
    <row r="34">
      <c r="A34" s="9" t="inlineStr">
        <is>
          <t>TC-RST-03</t>
        </is>
      </c>
      <c r="B34" s="9" t="inlineStr">
        <is>
          <t>Account / Auth</t>
        </is>
      </c>
      <c r="C34" s="9" t="inlineStr">
        <is>
          <t>Reset Password</t>
        </is>
      </c>
      <c r="D34" s="9" t="inlineStr">
        <is>
          <t>token ผิด/หมดอายุ/ใช้แล้ว</t>
        </is>
      </c>
      <c r="E34" s="9" t="inlineStr">
        <is>
          <t>UI</t>
        </is>
      </c>
      <c r="F34" s="9" t="inlineStr">
        <is>
          <t>Negative</t>
        </is>
      </c>
      <c r="G34" s="9" t="inlineStr">
        <is>
          <t>Medium</t>
        </is>
      </c>
      <c r="H34" s="9" t="inlineStr">
        <is>
          <t>Not Started</t>
        </is>
      </c>
      <c r="I34" s="9" t="inlineStr">
        <is>
          <t>Yes</t>
        </is>
      </c>
      <c r="J34" s="9" t="n"/>
      <c r="K34" s="9" t="n"/>
      <c r="L34" s="9" t="inlineStr">
        <is>
          <t>TD-34 expired/used</t>
        </is>
      </c>
      <c r="M34" s="9" t="inlineStr">
        <is>
          <t>TD-34</t>
        </is>
      </c>
      <c r="N34" s="9" t="inlineStr">
        <is>
          <t>ใช้ token ปลอม</t>
        </is>
      </c>
      <c r="O34" s="9" t="inlineStr">
        <is>
          <t>"เกิดข้อผิดพลาดในการเปลี่ยนรหัสผ่าน"</t>
        </is>
      </c>
      <c r="P34" s="9" t="inlineStr">
        <is>
          <t>user-reset-password/Content.tsx</t>
        </is>
      </c>
      <c r="Q34" s="9" t="n"/>
    </row>
    <row r="35">
      <c r="A35" s="9" t="inlineStr">
        <is>
          <t>TC-RST-04</t>
        </is>
      </c>
      <c r="B35" s="9" t="inlineStr">
        <is>
          <t>Account / Auth</t>
        </is>
      </c>
      <c r="C35" s="9" t="inlineStr">
        <is>
          <t>Reset Password</t>
        </is>
      </c>
      <c r="D35" s="9" t="inlineStr">
        <is>
          <t>placeholder ผิด</t>
        </is>
      </c>
      <c r="E35" s="9" t="inlineStr">
        <is>
          <t>UI</t>
        </is>
      </c>
      <c r="F35" s="9" t="inlineStr">
        <is>
          <t>Bug</t>
        </is>
      </c>
      <c r="G35" s="9" t="inlineStr">
        <is>
          <t>Low</t>
        </is>
      </c>
      <c r="H35" s="9" t="inlineStr">
        <is>
          <t>Not Started</t>
        </is>
      </c>
      <c r="I35" s="9" t="inlineStr">
        <is>
          <t>Yes</t>
        </is>
      </c>
      <c r="J35" s="9" t="n"/>
      <c r="K35" s="9" t="n"/>
      <c r="L35" s="9" t="inlineStr">
        <is>
          <t>-</t>
        </is>
      </c>
      <c r="M35" s="9" t="n"/>
      <c r="N35" s="9" t="inlineStr">
        <is>
          <t>สังเกต placeholder</t>
        </is>
      </c>
      <c r="O35" s="9" t="inlineStr">
        <is>
          <t>DEF-A2: เขียน "กรอกรหัสผ่านเดิม" แต่จริงต้องกรอกรหัสใหม่ — flag</t>
        </is>
      </c>
      <c r="P35" s="9" t="inlineStr">
        <is>
          <t>Content.tsx:57</t>
        </is>
      </c>
      <c r="Q35" s="9" t="inlineStr">
        <is>
          <t>DEF-A2</t>
        </is>
      </c>
    </row>
    <row r="36">
      <c r="A36" s="9" t="inlineStr">
        <is>
          <t>TC-RST-05</t>
        </is>
      </c>
      <c r="B36" s="9" t="inlineStr">
        <is>
          <t>Account / Auth</t>
        </is>
      </c>
      <c r="C36" s="9" t="inlineStr">
        <is>
          <t>Reset Password</t>
        </is>
      </c>
      <c r="D36" s="9" t="inlineStr">
        <is>
          <t>complexity FE vs BE</t>
        </is>
      </c>
      <c r="E36" s="9" t="inlineStr">
        <is>
          <t>API</t>
        </is>
      </c>
      <c r="F36" s="9" t="inlineStr">
        <is>
          <t>Validation</t>
        </is>
      </c>
      <c r="G36" s="9" t="inlineStr">
        <is>
          <t>Medium</t>
        </is>
      </c>
      <c r="H36" s="9" t="inlineStr">
        <is>
          <t>Not Started</t>
        </is>
      </c>
      <c r="I36" s="9" t="inlineStr">
        <is>
          <t>Yes</t>
        </is>
      </c>
      <c r="J36" s="9" t="n"/>
      <c r="K36" s="9" t="n"/>
      <c r="L36" s="9" t="inlineStr">
        <is>
          <t>TD-34 valid</t>
        </is>
      </c>
      <c r="M36" s="9" t="inlineStr">
        <is>
          <t>TD-34</t>
        </is>
      </c>
      <c r="N36" s="9" t="inlineStr">
        <is>
          <t>ส่ง password สั้น/ไม่ครบกฎ</t>
        </is>
      </c>
      <c r="O36" s="9" t="inlineStr">
        <is>
          <t>FE ไม่บังคับ → ตรวจว่า BE บังคับ min 8 + กฎหรือไม่</t>
        </is>
      </c>
      <c r="P36" s="9" t="inlineStr">
        <is>
          <t>เทียบกับ RegisterSchema</t>
        </is>
      </c>
      <c r="Q36" s="9" t="inlineStr">
        <is>
          <t>DEF-A3</t>
        </is>
      </c>
    </row>
    <row r="37">
      <c r="A37" s="9" t="inlineStr">
        <is>
          <t>TC-USER-01</t>
        </is>
      </c>
      <c r="B37" s="9" t="inlineStr">
        <is>
          <t>Account / Auth</t>
        </is>
      </c>
      <c r="C37" s="9" t="inlineStr">
        <is>
          <t>User Info</t>
        </is>
      </c>
      <c r="D37" s="9" t="inlineStr">
        <is>
          <t>เข้าโดยไม่ login</t>
        </is>
      </c>
      <c r="E37" s="9" t="inlineStr">
        <is>
          <t>UI</t>
        </is>
      </c>
      <c r="F37" s="9" t="inlineStr">
        <is>
          <t>Security</t>
        </is>
      </c>
      <c r="G37" s="9" t="inlineStr">
        <is>
          <t>High</t>
        </is>
      </c>
      <c r="H37" s="9" t="inlineStr">
        <is>
          <t>Script Done</t>
        </is>
      </c>
      <c r="I37" s="9" t="inlineStr">
        <is>
          <t>Yes</t>
        </is>
      </c>
      <c r="J37" s="9" t="n"/>
      <c r="K37" s="9" t="inlineStr">
        <is>
          <t>tests/auth/user/TC-USER-01_guest-no-access.robot — PASS</t>
        </is>
      </c>
      <c r="L37" s="9" t="inlineStr">
        <is>
          <t>guest</t>
        </is>
      </c>
      <c r="M37" s="9" t="inlineStr">
        <is>
          <t>TD-01</t>
        </is>
      </c>
      <c r="N37" s="9" t="inlineStr">
        <is>
          <t>เปิด /user-infos ตรง</t>
        </is>
      </c>
      <c r="O37" s="9" t="inlineStr">
        <is>
          <t>หน้าว่าง/redirect (ปัจจุบัน {isAuth &amp;&amp; ...} → ว่าง) — ตรวจ behavior</t>
        </is>
      </c>
      <c r="P37" s="9" t="inlineStr">
        <is>
          <t>user-infos/page.tsx</t>
        </is>
      </c>
      <c r="Q37" s="9" t="n"/>
    </row>
    <row r="38">
      <c r="A38" s="9" t="inlineStr">
        <is>
          <t>TC-USER-02</t>
        </is>
      </c>
      <c r="B38" s="9" t="inlineStr">
        <is>
          <t>Account / Auth</t>
        </is>
      </c>
      <c r="C38" s="9" t="inlineStr">
        <is>
          <t>User Info</t>
        </is>
      </c>
      <c r="D38" s="9" t="inlineStr">
        <is>
          <t>prefill ข้อมูล</t>
        </is>
      </c>
      <c r="E38" s="9" t="inlineStr">
        <is>
          <t>UI</t>
        </is>
      </c>
      <c r="F38" s="9" t="inlineStr">
        <is>
          <t>Positive</t>
        </is>
      </c>
      <c r="G38" s="9" t="inlineStr">
        <is>
          <t>Medium</t>
        </is>
      </c>
      <c r="H38" s="9" t="inlineStr">
        <is>
          <t>Script Done</t>
        </is>
      </c>
      <c r="I38" s="9" t="inlineStr">
        <is>
          <t>Yes</t>
        </is>
      </c>
      <c r="J38" s="9" t="n"/>
      <c r="K38" s="9" t="inlineStr">
        <is>
          <t>tests/auth/user/TC-USER-02_prefill.robot — PASS</t>
        </is>
      </c>
      <c r="L38" s="9" t="inlineStr">
        <is>
          <t>TD-30</t>
        </is>
      </c>
      <c r="M38" s="9" t="inlineStr">
        <is>
          <t>TD-30</t>
        </is>
      </c>
      <c r="N38" s="9" t="inlineStr">
        <is>
          <t>เปิดหน้าหลัง login</t>
        </is>
      </c>
      <c r="O38" s="9" t="inlineStr">
        <is>
          <t>ฟอร์ม prefill จาก user (name/phone/address/receipt)</t>
        </is>
      </c>
      <c r="P38" s="9" t="inlineStr">
        <is>
          <t>UserInforSection.tsx</t>
        </is>
      </c>
      <c r="Q38" s="9" t="n"/>
    </row>
    <row r="39">
      <c r="A39" s="9" t="inlineStr">
        <is>
          <t>TC-USER-03</t>
        </is>
      </c>
      <c r="B39" s="9" t="inlineStr">
        <is>
          <t>Account / Auth</t>
        </is>
      </c>
      <c r="C39" s="9" t="inlineStr">
        <is>
          <t>User Info</t>
        </is>
      </c>
      <c r="D39" s="9" t="inlineStr">
        <is>
          <t>update ข้อมูลส่วนตัว</t>
        </is>
      </c>
      <c r="E39" s="9" t="inlineStr">
        <is>
          <t>UI</t>
        </is>
      </c>
      <c r="F39" s="9" t="inlineStr">
        <is>
          <t>Positive</t>
        </is>
      </c>
      <c r="G39" s="9" t="inlineStr">
        <is>
          <t>High</t>
        </is>
      </c>
      <c r="H39" s="9" t="inlineStr">
        <is>
          <t>Not Started</t>
        </is>
      </c>
      <c r="I39" s="9" t="inlineStr">
        <is>
          <t>Yes</t>
        </is>
      </c>
      <c r="J39" s="9" t="n"/>
      <c r="K39" s="9" t="n"/>
      <c r="L39" s="9" t="inlineStr">
        <is>
          <t>TD-30</t>
        </is>
      </c>
      <c r="M39" s="9" t="inlineStr">
        <is>
          <t>TD-30</t>
        </is>
      </c>
      <c r="N39" s="9" t="inlineStr">
        <is>
          <t>แก้ name/phone/address → อัปเดต</t>
        </is>
      </c>
      <c r="O39" s="9" t="inlineStr">
        <is>
          <t>toast "อัปเดตข้อมูลส่วนตัวสำเร็จ", refetch</t>
        </is>
      </c>
      <c r="P39" s="9" t="inlineStr">
        <is>
          <t>UserInforSection.tsx</t>
        </is>
      </c>
      <c r="Q39" s="9" t="n"/>
    </row>
    <row r="40">
      <c r="A40" s="9" t="inlineStr">
        <is>
          <t>TC-USER-04</t>
        </is>
      </c>
      <c r="B40" s="9" t="inlineStr">
        <is>
          <t>Account / Auth</t>
        </is>
      </c>
      <c r="C40" s="9" t="inlineStr">
        <is>
          <t>User Info</t>
        </is>
      </c>
      <c r="D40" s="9" t="inlineStr">
        <is>
          <t>name ว่าง</t>
        </is>
      </c>
      <c r="E40" s="9" t="inlineStr">
        <is>
          <t>UI</t>
        </is>
      </c>
      <c r="F40" s="9" t="inlineStr">
        <is>
          <t>Validation</t>
        </is>
      </c>
      <c r="G40" s="9" t="inlineStr">
        <is>
          <t>Medium</t>
        </is>
      </c>
      <c r="H40" s="9" t="inlineStr">
        <is>
          <t>Not Started</t>
        </is>
      </c>
      <c r="I40" s="9" t="inlineStr">
        <is>
          <t>Yes</t>
        </is>
      </c>
      <c r="J40" s="9" t="n"/>
      <c r="K40" s="9" t="n"/>
      <c r="L40" s="9" t="inlineStr">
        <is>
          <t>TD-30</t>
        </is>
      </c>
      <c r="M40" s="9" t="inlineStr">
        <is>
          <t>TD-30</t>
        </is>
      </c>
      <c r="N40" s="9" t="inlineStr">
        <is>
          <t>ลบ name → อัปเดต</t>
        </is>
      </c>
      <c r="O40" s="9" t="inlineStr">
        <is>
          <t>"กรุณากรอกชื่อ-สกุล"</t>
        </is>
      </c>
      <c r="P40" s="9" t="inlineStr">
        <is>
          <t>validatePersonalInfo</t>
        </is>
      </c>
      <c r="Q40" s="9" t="n"/>
    </row>
    <row r="41">
      <c r="A41" s="9" t="inlineStr">
        <is>
          <t>TC-USER-05</t>
        </is>
      </c>
      <c r="B41" s="9" t="inlineStr">
        <is>
          <t>Account / Auth</t>
        </is>
      </c>
      <c r="C41" s="9" t="inlineStr">
        <is>
          <t>User Info</t>
        </is>
      </c>
      <c r="D41" s="9" t="inlineStr">
        <is>
          <t>email disabled</t>
        </is>
      </c>
      <c r="E41" s="9" t="inlineStr">
        <is>
          <t>UI</t>
        </is>
      </c>
      <c r="F41" s="9" t="inlineStr">
        <is>
          <t>Functional</t>
        </is>
      </c>
      <c r="G41" s="9" t="inlineStr">
        <is>
          <t>Low</t>
        </is>
      </c>
      <c r="H41" s="9" t="inlineStr">
        <is>
          <t>Script Done</t>
        </is>
      </c>
      <c r="I41" s="9" t="inlineStr">
        <is>
          <t>Yes</t>
        </is>
      </c>
      <c r="J41" s="9" t="n"/>
      <c r="K41" s="9" t="inlineStr">
        <is>
          <t>tests/auth/user/TC-USER-05_email-readonly.robot — PASS</t>
        </is>
      </c>
      <c r="L41" s="9" t="inlineStr">
        <is>
          <t>TD-30</t>
        </is>
      </c>
      <c r="M41" s="9" t="inlineStr">
        <is>
          <t>TD-30</t>
        </is>
      </c>
      <c r="N41" s="9" t="inlineStr">
        <is>
          <t>ลองแก้ช่อง email</t>
        </is>
      </c>
      <c r="O41" s="9" t="inlineStr">
        <is>
          <t>แก้ไม่ได้ (gray, read-only)</t>
        </is>
      </c>
      <c r="P41" s="9" t="inlineStr">
        <is>
          <t>UserInforSection.tsx</t>
        </is>
      </c>
      <c r="Q41" s="9" t="n"/>
    </row>
    <row r="42">
      <c r="A42" s="9" t="inlineStr">
        <is>
          <t>TC-USER-06</t>
        </is>
      </c>
      <c r="B42" s="9" t="inlineStr">
        <is>
          <t>Account / Auth</t>
        </is>
      </c>
      <c r="C42" s="9" t="inlineStr">
        <is>
          <t>User Info</t>
        </is>
      </c>
      <c r="D42" s="9" t="inlineStr">
        <is>
          <t>ใบกำกับ required</t>
        </is>
      </c>
      <c r="E42" s="9" t="inlineStr">
        <is>
          <t>UI</t>
        </is>
      </c>
      <c r="F42" s="9" t="inlineStr">
        <is>
          <t>Validation</t>
        </is>
      </c>
      <c r="G42" s="9" t="inlineStr">
        <is>
          <t>Medium</t>
        </is>
      </c>
      <c r="H42" s="9" t="inlineStr">
        <is>
          <t>Not Started</t>
        </is>
      </c>
      <c r="I42" s="9" t="inlineStr">
        <is>
          <t>Yes</t>
        </is>
      </c>
      <c r="J42" s="9" t="n"/>
      <c r="K42" s="9" t="n"/>
      <c r="L42" s="9" t="inlineStr">
        <is>
          <t>TD-30</t>
        </is>
      </c>
      <c r="M42" s="9" t="inlineStr">
        <is>
          <t>TD-30</t>
        </is>
      </c>
      <c r="N42" s="9" t="inlineStr">
        <is>
          <t>เว้น issue_to/tax_id/email/address → อัปเดต</t>
        </is>
      </c>
      <c r="O42" s="9" t="inlineStr">
        <is>
          <t>error ใต้แต่ละช่องที่ขาด</t>
        </is>
      </c>
      <c r="P42" s="9" t="inlineStr">
        <is>
          <t>validateReceiptInfo</t>
        </is>
      </c>
      <c r="Q42" s="9" t="n"/>
    </row>
    <row r="43">
      <c r="A43" s="9" t="inlineStr">
        <is>
          <t>TC-USER-07</t>
        </is>
      </c>
      <c r="B43" s="9" t="inlineStr">
        <is>
          <t>Account / Auth</t>
        </is>
      </c>
      <c r="C43" s="9" t="inlineStr">
        <is>
          <t>User Info</t>
        </is>
      </c>
      <c r="D43" s="9" t="inlineStr">
        <is>
          <t>tax_id boundary 13</t>
        </is>
      </c>
      <c r="E43" s="9" t="inlineStr">
        <is>
          <t>UI</t>
        </is>
      </c>
      <c r="F43" s="9" t="inlineStr">
        <is>
          <t>Boundary</t>
        </is>
      </c>
      <c r="G43" s="9" t="inlineStr">
        <is>
          <t>Medium</t>
        </is>
      </c>
      <c r="H43" s="9" t="inlineStr">
        <is>
          <t>Not Started</t>
        </is>
      </c>
      <c r="I43" s="9" t="inlineStr">
        <is>
          <t>Yes</t>
        </is>
      </c>
      <c r="J43" s="9" t="n"/>
      <c r="K43" s="9" t="n"/>
      <c r="L43" s="9" t="inlineStr">
        <is>
          <t>TD-30</t>
        </is>
      </c>
      <c r="M43" s="9" t="inlineStr">
        <is>
          <t>TD-30</t>
        </is>
      </c>
      <c r="N43" s="9" t="inlineStr">
        <is>
          <t>พิมพ์ tax_id 14 หลัก</t>
        </is>
      </c>
      <c r="O43" s="9" t="inlineStr">
        <is>
          <t>บล็อกพิมพ์เกิน 13 + error ถ้าเกิน</t>
        </is>
      </c>
      <c r="P43" s="9" t="inlineStr">
        <is>
          <t>handleNestedChange:231</t>
        </is>
      </c>
      <c r="Q43" s="9" t="n"/>
    </row>
    <row r="44">
      <c r="A44" s="9" t="inlineStr">
        <is>
          <t>TC-USER-08</t>
        </is>
      </c>
      <c r="B44" s="9" t="inlineStr">
        <is>
          <t>Account / Auth</t>
        </is>
      </c>
      <c r="C44" s="9" t="inlineStr">
        <is>
          <t>User Info</t>
        </is>
      </c>
      <c r="D44" s="9" t="inlineStr">
        <is>
          <t>เปลี่ยนรหัส สำเร็จ</t>
        </is>
      </c>
      <c r="E44" s="9" t="inlineStr">
        <is>
          <t>UI</t>
        </is>
      </c>
      <c r="F44" s="9" t="inlineStr">
        <is>
          <t>Positive</t>
        </is>
      </c>
      <c r="G44" s="9" t="inlineStr">
        <is>
          <t>High</t>
        </is>
      </c>
      <c r="H44" s="9" t="inlineStr">
        <is>
          <t>Not Started</t>
        </is>
      </c>
      <c r="I44" s="9" t="inlineStr">
        <is>
          <t>Yes</t>
        </is>
      </c>
      <c r="J44" s="9" t="n"/>
      <c r="K44" s="9" t="n"/>
      <c r="L44" s="9" t="inlineStr">
        <is>
          <t>TD-30</t>
        </is>
      </c>
      <c r="M44" s="9" t="inlineStr">
        <is>
          <t>TD-30</t>
        </is>
      </c>
      <c r="N44" s="9" t="inlineStr">
        <is>
          <t>เปิด modal → currentPwd ถูก + newPwd ผ่านกฎ</t>
        </is>
      </c>
      <c r="O44" s="9" t="inlineStr">
        <is>
          <t>toast "เปลี่ยนรหัสผ่านสำเร็จ", modal ปิด</t>
        </is>
      </c>
      <c r="P44" s="9" t="inlineStr">
        <is>
          <t>PasswordChangeModal.tsx</t>
        </is>
      </c>
      <c r="Q44" s="9" t="n"/>
    </row>
    <row r="45">
      <c r="A45" s="9" t="inlineStr">
        <is>
          <t>TC-USER-09</t>
        </is>
      </c>
      <c r="B45" s="9" t="inlineStr">
        <is>
          <t>Account / Auth</t>
        </is>
      </c>
      <c r="C45" s="9" t="inlineStr">
        <is>
          <t>User Info</t>
        </is>
      </c>
      <c r="D45" s="9" t="inlineStr">
        <is>
          <t>รหัสเดิมผิด</t>
        </is>
      </c>
      <c r="E45" s="9" t="inlineStr">
        <is>
          <t>UI</t>
        </is>
      </c>
      <c r="F45" s="9" t="inlineStr">
        <is>
          <t>Negative</t>
        </is>
      </c>
      <c r="G45" s="9" t="inlineStr">
        <is>
          <t>High</t>
        </is>
      </c>
      <c r="H45" s="9" t="inlineStr">
        <is>
          <t>Not Started</t>
        </is>
      </c>
      <c r="I45" s="9" t="inlineStr">
        <is>
          <t>Yes</t>
        </is>
      </c>
      <c r="J45" s="9" t="n"/>
      <c r="K45" s="9" t="n"/>
      <c r="L45" s="9" t="inlineStr">
        <is>
          <t>TD-30</t>
        </is>
      </c>
      <c r="M45" s="9" t="inlineStr">
        <is>
          <t>TD-30</t>
        </is>
      </c>
      <c r="N45" s="9" t="inlineStr">
        <is>
          <t>currentPwd ผิด</t>
        </is>
      </c>
      <c r="O45" s="9" t="inlineStr">
        <is>
          <t>"รหัสเดิมไม่ถูกต้อง"</t>
        </is>
      </c>
      <c r="P45" s="9" t="inlineStr">
        <is>
          <t>PasswordChangeModal.tsx</t>
        </is>
      </c>
      <c r="Q45" s="9" t="n"/>
    </row>
    <row r="46">
      <c r="A46" s="9" t="inlineStr">
        <is>
          <t>TC-USER-10</t>
        </is>
      </c>
      <c r="B46" s="9" t="inlineStr">
        <is>
          <t>Account / Auth</t>
        </is>
      </c>
      <c r="C46" s="9" t="inlineStr">
        <is>
          <t>User Info</t>
        </is>
      </c>
      <c r="D46" s="9" t="inlineStr">
        <is>
          <t>newPwd ไม่ผ่านกฎ</t>
        </is>
      </c>
      <c r="E46" s="9" t="inlineStr">
        <is>
          <t>UI</t>
        </is>
      </c>
      <c r="F46" s="9" t="inlineStr">
        <is>
          <t>Validation</t>
        </is>
      </c>
      <c r="G46" s="9" t="inlineStr">
        <is>
          <t>Medium</t>
        </is>
      </c>
      <c r="H46" s="9" t="inlineStr">
        <is>
          <t>Not Started</t>
        </is>
      </c>
      <c r="I46" s="9" t="inlineStr">
        <is>
          <t>Yes</t>
        </is>
      </c>
      <c r="J46" s="9" t="n"/>
      <c r="K46" s="9" t="n"/>
      <c r="L46" s="9" t="inlineStr">
        <is>
          <t>TD-30</t>
        </is>
      </c>
      <c r="M46" s="9" t="inlineStr">
        <is>
          <t>TD-30</t>
        </is>
      </c>
      <c r="N46" s="9" t="inlineStr">
        <is>
          <t>newPwd อ่อน</t>
        </is>
      </c>
      <c r="O46" s="9" t="inlineStr">
        <is>
          <t>error เหมือน register (ครบ 7 กรณี)</t>
        </is>
      </c>
      <c r="P46" s="9" t="inlineStr">
        <is>
          <t>ChangePasswordSchema</t>
        </is>
      </c>
      <c r="Q46" s="9" t="n"/>
    </row>
    <row r="47">
      <c r="A47" s="9" t="inlineStr">
        <is>
          <t>TC-USER-11</t>
        </is>
      </c>
      <c r="B47" s="9" t="inlineStr">
        <is>
          <t>Account / Auth</t>
        </is>
      </c>
      <c r="C47" s="9" t="inlineStr">
        <is>
          <t>User Info</t>
        </is>
      </c>
      <c r="D47" s="9" t="inlineStr">
        <is>
          <t>EDM checkbox</t>
        </is>
      </c>
      <c r="E47" s="9" t="inlineStr">
        <is>
          <t>UI</t>
        </is>
      </c>
      <c r="F47" s="9" t="inlineStr">
        <is>
          <t>Functional</t>
        </is>
      </c>
      <c r="G47" s="9" t="inlineStr">
        <is>
          <t>Low</t>
        </is>
      </c>
      <c r="H47" s="9" t="inlineStr">
        <is>
          <t>Not Started</t>
        </is>
      </c>
      <c r="I47" s="9" t="inlineStr">
        <is>
          <t>Yes</t>
        </is>
      </c>
      <c r="J47" s="9" t="n"/>
      <c r="K47" s="9" t="n"/>
      <c r="L47" s="9" t="inlineStr">
        <is>
          <t>TD-30</t>
        </is>
      </c>
      <c r="M47" s="9" t="inlineStr">
        <is>
          <t>TD-30</t>
        </is>
      </c>
      <c r="N47" s="9" t="inlineStr">
        <is>
          <t>ติ๊ก/ไม่ติ๊ก → อัปเดต</t>
        </is>
      </c>
      <c r="O47" s="9" t="inlineStr">
        <is>
          <t>accept_for_edm persist</t>
        </is>
      </c>
      <c r="P47" s="9" t="inlineStr">
        <is>
          <t>UserInforSection.tsx</t>
        </is>
      </c>
      <c r="Q47" s="9" t="n"/>
    </row>
    <row r="48">
      <c r="A48" s="9" t="inlineStr">
        <is>
          <t>TC-USER-12</t>
        </is>
      </c>
      <c r="B48" s="9" t="inlineStr">
        <is>
          <t>Account / Auth</t>
        </is>
      </c>
      <c r="C48" s="9" t="inlineStr">
        <is>
          <t>User Info</t>
        </is>
      </c>
      <c r="D48" s="9" t="inlineStr">
        <is>
          <t>logout</t>
        </is>
      </c>
      <c r="E48" s="9" t="inlineStr">
        <is>
          <t>UI</t>
        </is>
      </c>
      <c r="F48" s="9" t="inlineStr">
        <is>
          <t>Functional</t>
        </is>
      </c>
      <c r="G48" s="9" t="inlineStr">
        <is>
          <t>High</t>
        </is>
      </c>
      <c r="H48" s="9" t="inlineStr">
        <is>
          <t>Script Done</t>
        </is>
      </c>
      <c r="I48" s="9" t="inlineStr">
        <is>
          <t>Yes</t>
        </is>
      </c>
      <c r="J48" s="9" t="n"/>
      <c r="K48" s="9" t="inlineStr">
        <is>
          <t>tests/auth/user/TC-USER-12_logout.robot — PASS</t>
        </is>
      </c>
      <c r="L48" s="9" t="inlineStr">
        <is>
          <t>TD-30</t>
        </is>
      </c>
      <c r="M48" s="9" t="inlineStr">
        <is>
          <t>TD-30</t>
        </is>
      </c>
      <c r="N48" s="9" t="inlineStr">
        <is>
          <t>กด Log Out</t>
        </is>
      </c>
      <c r="O48" s="9" t="inlineStr">
        <is>
          <t>clear state+storage, redirect /</t>
        </is>
      </c>
      <c r="P48" s="9" t="inlineStr">
        <is>
          <t>handleLogOut</t>
        </is>
      </c>
      <c r="Q48" s="9" t="n"/>
    </row>
    <row r="49">
      <c r="A49" s="9" t="inlineStr">
        <is>
          <t>TC-USER-13</t>
        </is>
      </c>
      <c r="B49" s="9" t="inlineStr">
        <is>
          <t>Account / Auth</t>
        </is>
      </c>
      <c r="C49" s="9" t="inlineStr">
        <is>
          <t>User Info</t>
        </is>
      </c>
      <c r="D49" s="9" t="inlineStr">
        <is>
          <t>tab switch desktop/mobile</t>
        </is>
      </c>
      <c r="E49" s="9" t="inlineStr">
        <is>
          <t>UI</t>
        </is>
      </c>
      <c r="F49" s="9" t="inlineStr">
        <is>
          <t>Functional</t>
        </is>
      </c>
      <c r="G49" s="9" t="inlineStr">
        <is>
          <t>Low</t>
        </is>
      </c>
      <c r="H49" s="9" t="inlineStr">
        <is>
          <t>Script Done</t>
        </is>
      </c>
      <c r="I49" s="9" t="inlineStr">
        <is>
          <t>Yes</t>
        </is>
      </c>
      <c r="J49" s="9" t="n"/>
      <c r="K49" s="9" t="inlineStr">
        <is>
          <t>tests/auth/user/TC-USER-13_tab-switch.robot — PASS</t>
        </is>
      </c>
      <c r="L49" s="9" t="inlineStr">
        <is>
          <t>TD-30</t>
        </is>
      </c>
      <c r="M49" s="9" t="inlineStr">
        <is>
          <t>TD-30</t>
        </is>
      </c>
      <c r="N49" s="9" t="inlineStr">
        <is>
          <t>สลับแท็บข้อมูล/ออเดอร์</t>
        </is>
      </c>
      <c r="O49" s="9" t="inlineStr">
        <is>
          <t>render ถูก, mobile accordion</t>
        </is>
      </c>
      <c r="P49" s="9" t="inlineStr">
        <is>
          <t>UserInforSection.tsx</t>
        </is>
      </c>
      <c r="Q49" s="9" t="n"/>
    </row>
    <row r="50">
      <c r="A50" s="9" t="inlineStr">
        <is>
          <t>TC-OH-01</t>
        </is>
      </c>
      <c r="B50" s="9" t="inlineStr">
        <is>
          <t>Account / Auth</t>
        </is>
      </c>
      <c r="C50" s="9" t="inlineStr">
        <is>
          <t>Order History</t>
        </is>
      </c>
      <c r="D50" s="9" t="inlineStr">
        <is>
          <t>แสดง pending+completed</t>
        </is>
      </c>
      <c r="E50" s="9" t="inlineStr">
        <is>
          <t>UI</t>
        </is>
      </c>
      <c r="F50" s="9" t="inlineStr">
        <is>
          <t>Positive</t>
        </is>
      </c>
      <c r="G50" s="9" t="inlineStr">
        <is>
          <t>Medium</t>
        </is>
      </c>
      <c r="H50" s="9" t="inlineStr">
        <is>
          <t>Blocked</t>
        </is>
      </c>
      <c r="I50" s="9" t="inlineStr">
        <is>
          <t>Yes</t>
        </is>
      </c>
      <c r="J50" s="9" t="n"/>
      <c r="K50" s="9" t="inlineStr">
        <is>
          <t>รอ user ที่มีออเดอร์ (TD-39) จาก dev</t>
        </is>
      </c>
      <c r="L50" s="9" t="inlineStr">
        <is>
          <t>TD-39</t>
        </is>
      </c>
      <c r="M50" s="9" t="inlineStr">
        <is>
          <t>TD-39</t>
        </is>
      </c>
      <c r="N50" s="9" t="inlineStr">
        <is>
          <t>เปิดแท็บรายการสั่งซื้อ</t>
        </is>
      </c>
      <c r="O50" s="9" t="inlineStr">
        <is>
          <t>2 section แสดง order code/รายการ/จำนวน + badge pending count</t>
        </is>
      </c>
      <c r="P50" s="9" t="inlineStr">
        <is>
          <t>OrdersSection.tsx</t>
        </is>
      </c>
      <c r="Q50" s="9" t="n"/>
    </row>
    <row r="51">
      <c r="A51" s="9" t="inlineStr">
        <is>
          <t>TC-OH-02</t>
        </is>
      </c>
      <c r="B51" s="9" t="inlineStr">
        <is>
          <t>Account / Auth</t>
        </is>
      </c>
      <c r="C51" s="9" t="inlineStr">
        <is>
          <t>Order History</t>
        </is>
      </c>
      <c r="D51" s="9" t="inlineStr">
        <is>
          <t>empty state</t>
        </is>
      </c>
      <c r="E51" s="9" t="inlineStr">
        <is>
          <t>UI</t>
        </is>
      </c>
      <c r="F51" s="9" t="inlineStr">
        <is>
          <t>Positive</t>
        </is>
      </c>
      <c r="G51" s="9" t="inlineStr">
        <is>
          <t>Low</t>
        </is>
      </c>
      <c r="H51" s="9" t="inlineStr">
        <is>
          <t>Script Done</t>
        </is>
      </c>
      <c r="I51" s="9" t="inlineStr">
        <is>
          <t>Yes</t>
        </is>
      </c>
      <c r="J51" s="9" t="n"/>
      <c r="K51" s="9" t="inlineStr">
        <is>
          <t>tests/auth/user/TC-OH-02_order-history-empty.robot — PASS (inoobeam ไม่มีออเดอร์)</t>
        </is>
      </c>
      <c r="L51" s="9" t="inlineStr">
        <is>
          <t>user ไม่มีออเดอร์</t>
        </is>
      </c>
      <c r="M51" s="9" t="inlineStr">
        <is>
          <t>TD-30</t>
        </is>
      </c>
      <c r="N51" s="9" t="inlineStr">
        <is>
          <t>เปิดแท็บ</t>
        </is>
      </c>
      <c r="O51" s="9" t="inlineStr">
        <is>
          <t>"- ยังไม่มีรายการสั่งซื้อ -" ทั้ง 2 section</t>
        </is>
      </c>
      <c r="P51" s="9" t="inlineStr">
        <is>
          <t>OrdersSection.tsx</t>
        </is>
      </c>
      <c r="Q51" s="9" t="n"/>
    </row>
    <row r="52">
      <c r="A52" s="9" t="inlineStr">
        <is>
          <t>TC-OH-03</t>
        </is>
      </c>
      <c r="B52" s="9" t="inlineStr">
        <is>
          <t>Account / Auth</t>
        </is>
      </c>
      <c r="C52" s="9" t="inlineStr">
        <is>
          <t>Order History</t>
        </is>
      </c>
      <c r="D52" s="9" t="inlineStr">
        <is>
          <t>copy order code</t>
        </is>
      </c>
      <c r="E52" s="9" t="inlineStr">
        <is>
          <t>UI</t>
        </is>
      </c>
      <c r="F52" s="9" t="inlineStr">
        <is>
          <t>Functional</t>
        </is>
      </c>
      <c r="G52" s="9" t="inlineStr">
        <is>
          <t>Low</t>
        </is>
      </c>
      <c r="H52" s="9" t="inlineStr">
        <is>
          <t>Blocked</t>
        </is>
      </c>
      <c r="I52" s="9" t="inlineStr">
        <is>
          <t>Yes</t>
        </is>
      </c>
      <c r="J52" s="9" t="n"/>
      <c r="K52" s="9" t="inlineStr">
        <is>
          <t>copy order code — รอ user ที่มีออเดอร์ (TD-39)</t>
        </is>
      </c>
      <c r="L52" s="9" t="inlineStr">
        <is>
          <t>TD-39</t>
        </is>
      </c>
      <c r="M52" s="9" t="inlineStr">
        <is>
          <t>TD-39</t>
        </is>
      </c>
      <c r="N52" s="9" t="inlineStr">
        <is>
          <t>คลิกปุ่ม copy</t>
        </is>
      </c>
      <c r="O52" s="9" t="inlineStr">
        <is>
          <t>clipboard ได้ค่า + "คัดลอกเลขออเดอร์สำเร็จ" 1.5 วิ</t>
        </is>
      </c>
      <c r="P52" s="9" t="inlineStr">
        <is>
          <t>OrdersSection.tsx</t>
        </is>
      </c>
      <c r="Q52" s="9" t="n"/>
    </row>
    <row r="53">
      <c r="A53" s="9" t="inlineStr">
        <is>
          <t>TC-OH-04</t>
        </is>
      </c>
      <c r="B53" s="9" t="inlineStr">
        <is>
          <t>Account / Auth</t>
        </is>
      </c>
      <c r="C53" s="9" t="inlineStr">
        <is>
          <t>Order History</t>
        </is>
      </c>
      <c r="D53" s="9" t="inlineStr">
        <is>
          <t>ลิงก์ติดต่อ LINE</t>
        </is>
      </c>
      <c r="E53" s="9" t="inlineStr">
        <is>
          <t>UI</t>
        </is>
      </c>
      <c r="F53" s="9" t="inlineStr">
        <is>
          <t>Functional</t>
        </is>
      </c>
      <c r="G53" s="9" t="inlineStr">
        <is>
          <t>Low</t>
        </is>
      </c>
      <c r="H53" s="9" t="inlineStr">
        <is>
          <t>Blocked</t>
        </is>
      </c>
      <c r="I53" s="9" t="inlineStr">
        <is>
          <t>Yes</t>
        </is>
      </c>
      <c r="J53" s="9" t="n"/>
      <c r="K53" s="9" t="inlineStr">
        <is>
          <t>LINE link — รอ user ที่มีออเดอร์ (TD-39)</t>
        </is>
      </c>
      <c r="L53" s="9" t="inlineStr">
        <is>
          <t>TD-39</t>
        </is>
      </c>
      <c r="M53" s="9" t="inlineStr">
        <is>
          <t>TD-39</t>
        </is>
      </c>
      <c r="N53" s="9" t="inlineStr">
        <is>
          <t>คลิก "ติดต่อทีมงานผ่าน LINE"</t>
        </is>
      </c>
      <c r="O53" s="9" t="inlineStr">
        <is>
          <t>เปิด /line แท็บใหม่</t>
        </is>
      </c>
      <c r="P53" s="9" t="inlineStr">
        <is>
          <t>OrdersSection.tsx</t>
        </is>
      </c>
      <c r="Q53" s="9" t="n"/>
    </row>
  </sheetData>
  <autoFilter ref="A1:Q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Q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2" customWidth="1" min="5" max="5"/>
    <col width="14" customWidth="1" min="6" max="6"/>
    <col width="9" customWidth="1" min="7" max="7"/>
    <col width="13" customWidth="1" min="8" max="8"/>
    <col width="11" customWidth="1" min="9" max="9"/>
    <col width="11" customWidth="1" min="10" max="10"/>
    <col width="22" customWidth="1" min="11" max="11"/>
    <col width="22" customWidth="1" min="12" max="12"/>
    <col width="14" customWidth="1" min="13" max="13"/>
    <col width="42" customWidth="1" min="14" max="14"/>
    <col width="44" customWidth="1" min="15" max="15"/>
    <col width="28" customWidth="1" min="16" max="16"/>
    <col width="18" customWidth="1" min="17" max="17"/>
  </cols>
  <sheetData>
    <row r="1">
      <c r="A1" s="8" t="inlineStr">
        <is>
          <t>Test Case ID</t>
        </is>
      </c>
      <c r="B1" s="8" t="inlineStr">
        <is>
          <t>Group</t>
        </is>
      </c>
      <c r="C1" s="8" t="inlineStr">
        <is>
          <t>Module</t>
        </is>
      </c>
      <c r="D1" s="8" t="inlineStr">
        <is>
          <t>Feature</t>
        </is>
      </c>
      <c r="E1" s="8" t="inlineStr">
        <is>
          <t>Test Level</t>
        </is>
      </c>
      <c r="F1" s="8" t="inlineStr">
        <is>
          <t>Test Type</t>
        </is>
      </c>
      <c r="G1" s="8" t="inlineStr">
        <is>
          <t>Priority</t>
        </is>
      </c>
      <c r="H1" s="8" t="inlineStr">
        <is>
          <t>Script Status</t>
        </is>
      </c>
      <c r="I1" s="8" t="inlineStr">
        <is>
          <t>Automatable</t>
        </is>
      </c>
      <c r="J1" s="8" t="inlineStr">
        <is>
          <t>Assignee</t>
        </is>
      </c>
      <c r="K1" s="8" t="inlineStr">
        <is>
          <t>Script File / Notes</t>
        </is>
      </c>
      <c r="L1" s="8" t="inlineStr">
        <is>
          <t>Preconditions</t>
        </is>
      </c>
      <c r="M1" s="8" t="inlineStr">
        <is>
          <t>Test Data</t>
        </is>
      </c>
      <c r="N1" s="8" t="inlineStr">
        <is>
          <t>Test Steps</t>
        </is>
      </c>
      <c r="O1" s="8" t="inlineStr">
        <is>
          <t>Expected Result</t>
        </is>
      </c>
      <c r="P1" s="8" t="inlineStr">
        <is>
          <t>Code Evidence</t>
        </is>
      </c>
      <c r="Q1" s="8" t="inlineStr">
        <is>
          <t>Remark</t>
        </is>
      </c>
    </row>
    <row r="2">
      <c r="A2" s="9" t="inlineStr">
        <is>
          <t>TC-CARD-01</t>
        </is>
      </c>
      <c r="B2" s="9" t="inlineStr">
        <is>
          <t>Message Card / Ribbon</t>
        </is>
      </c>
      <c r="C2" s="9" t="inlineStr">
        <is>
          <t>Message Card</t>
        </is>
      </c>
      <c r="D2" s="9" t="inlineStr">
        <is>
          <t>preview real-time</t>
        </is>
      </c>
      <c r="E2" s="9" t="inlineStr">
        <is>
          <t>UI</t>
        </is>
      </c>
      <c r="F2" s="9" t="inlineStr">
        <is>
          <t>Positive</t>
        </is>
      </c>
      <c r="G2" s="9" t="inlineStr">
        <is>
          <t>High</t>
        </is>
      </c>
      <c r="H2" s="9" t="inlineStr">
        <is>
          <t>Not Started</t>
        </is>
      </c>
      <c r="I2" s="9" t="inlineStr">
        <is>
          <t>Yes</t>
        </is>
      </c>
      <c r="J2" s="9" t="n"/>
      <c r="K2" s="9" t="n"/>
      <c r="L2" s="9" t="inlineStr">
        <is>
          <t>สินค้าใน checkout</t>
        </is>
      </c>
      <c r="M2" s="9" t="inlineStr">
        <is>
          <t>TD-03</t>
        </is>
      </c>
      <c r="N2" s="9" t="inlineStr">
        <is>
          <t>เปิด modal → พิมพ์บรรทัด 1</t>
        </is>
      </c>
      <c r="O2" s="9" t="inlineStr">
        <is>
          <t>หลัง 888ms preview รูปอัปเดต (base64)</t>
        </is>
      </c>
      <c r="P2" s="9" t="inlineStr">
        <is>
          <t>MessageCardModal.tsx</t>
        </is>
      </c>
      <c r="Q2" s="9" t="n"/>
    </row>
    <row r="3">
      <c r="A3" s="9" t="inlineStr">
        <is>
          <t>TC-CARD-02</t>
        </is>
      </c>
      <c r="B3" s="9" t="inlineStr">
        <is>
          <t>Message Card / Ribbon</t>
        </is>
      </c>
      <c r="C3" s="9" t="inlineStr">
        <is>
          <t>Message Card</t>
        </is>
      </c>
      <c r="D3" s="9" t="inlineStr">
        <is>
          <t>เปลี่ยน tone/format/align</t>
        </is>
      </c>
      <c r="E3" s="9" t="inlineStr">
        <is>
          <t>UI</t>
        </is>
      </c>
      <c r="F3" s="9" t="inlineStr">
        <is>
          <t>Functional</t>
        </is>
      </c>
      <c r="G3" s="9" t="inlineStr">
        <is>
          <t>Medium</t>
        </is>
      </c>
      <c r="H3" s="9" t="inlineStr">
        <is>
          <t>Not Started</t>
        </is>
      </c>
      <c r="I3" s="9" t="inlineStr">
        <is>
          <t>Yes</t>
        </is>
      </c>
      <c r="J3" s="9" t="n"/>
      <c r="K3" s="9" t="n"/>
      <c r="L3" s="9" t="inlineStr">
        <is>
          <t>เปิด modal</t>
        </is>
      </c>
      <c r="M3" s="9" t="inlineStr">
        <is>
          <t>TD-03</t>
        </is>
      </c>
      <c r="N3" s="9" t="inlineStr">
        <is>
          <t>สลับขาว/ดำ, format 1/2/3, ซ้าย/ขวา</t>
        </is>
      </c>
      <c r="O3" s="9" t="inlineStr">
        <is>
          <t>preview เปลี่ยนตาม</t>
        </is>
      </c>
      <c r="P3" s="9" t="inlineStr">
        <is>
          <t>MessageCardModal.tsx</t>
        </is>
      </c>
      <c r="Q3" s="9" t="n"/>
    </row>
    <row r="4">
      <c r="A4" s="9" t="inlineStr">
        <is>
          <t>TC-CARD-03</t>
        </is>
      </c>
      <c r="B4" s="9" t="inlineStr">
        <is>
          <t>Message Card / Ribbon</t>
        </is>
      </c>
      <c r="C4" s="9" t="inlineStr">
        <is>
          <t>Message Card</t>
        </is>
      </c>
      <c r="D4" s="9" t="inlineStr">
        <is>
          <t>บรรทัด 1 ว่าง</t>
        </is>
      </c>
      <c r="E4" s="9" t="inlineStr">
        <is>
          <t>UI</t>
        </is>
      </c>
      <c r="F4" s="9" t="inlineStr">
        <is>
          <t>Validation</t>
        </is>
      </c>
      <c r="G4" s="9" t="inlineStr">
        <is>
          <t>High</t>
        </is>
      </c>
      <c r="H4" s="9" t="inlineStr">
        <is>
          <t>Not Started</t>
        </is>
      </c>
      <c r="I4" s="9" t="inlineStr">
        <is>
          <t>Yes</t>
        </is>
      </c>
      <c r="J4" s="9" t="n"/>
      <c r="K4" s="9" t="n"/>
      <c r="L4" s="9" t="inlineStr">
        <is>
          <t>เปิด modal</t>
        </is>
      </c>
      <c r="M4" s="9" t="inlineStr">
        <is>
          <t>TD-03</t>
        </is>
      </c>
      <c r="N4" s="9" t="inlineStr">
        <is>
          <t>เว้นบรรทัด 1 (หรือใส่ space)</t>
        </is>
      </c>
      <c r="O4" s="9" t="inlineStr">
        <is>
          <t>ปุ่มบันทึก disable + "กรุณาระบุข้อความบรรทัดที่ 1"</t>
        </is>
      </c>
      <c r="P4" s="9" t="inlineStr">
        <is>
          <t>shouldDisableButton</t>
        </is>
      </c>
      <c r="Q4" s="9" t="n"/>
    </row>
    <row r="5">
      <c r="A5" s="9" t="inlineStr">
        <is>
          <t>TC-CARD-04</t>
        </is>
      </c>
      <c r="B5" s="9" t="inlineStr">
        <is>
          <t>Message Card / Ribbon</t>
        </is>
      </c>
      <c r="C5" s="9" t="inlineStr">
        <is>
          <t>Message Card</t>
        </is>
      </c>
      <c r="D5" s="9" t="inlineStr">
        <is>
          <t>บันทึก → card-final</t>
        </is>
      </c>
      <c r="E5" s="9" t="inlineStr">
        <is>
          <t>Integration</t>
        </is>
      </c>
      <c r="F5" s="9" t="inlineStr">
        <is>
          <t>Positive</t>
        </is>
      </c>
      <c r="G5" s="9" t="inlineStr">
        <is>
          <t>High</t>
        </is>
      </c>
      <c r="H5" s="9" t="inlineStr">
        <is>
          <t>Not Started</t>
        </is>
      </c>
      <c r="I5" s="9" t="inlineStr">
        <is>
          <t>Yes</t>
        </is>
      </c>
      <c r="J5" s="9" t="n"/>
      <c r="K5" s="9" t="n"/>
      <c r="L5" s="9" t="inlineStr">
        <is>
          <t>กรอกบรรทัด 1</t>
        </is>
      </c>
      <c r="M5" s="9" t="inlineStr">
        <is>
          <t>TD-03</t>
        </is>
      </c>
      <c r="N5" s="9" t="inlineStr">
        <is>
          <t>กดบันทึก</t>
        </is>
      </c>
      <c r="O5" s="9" t="inlineStr">
        <is>
          <t>ได้ finalId+finalUrl เก็บ messageCardModal-{n}-{code}</t>
        </is>
      </c>
      <c r="P5" s="9" t="inlineStr">
        <is>
          <t>card-final.ts</t>
        </is>
      </c>
      <c r="Q5" s="9" t="n"/>
    </row>
    <row r="6">
      <c r="A6" s="9" t="inlineStr">
        <is>
          <t>TC-CARD-05</t>
        </is>
      </c>
      <c r="B6" s="9" t="inlineStr">
        <is>
          <t>Message Card / Ribbon</t>
        </is>
      </c>
      <c r="C6" s="9" t="inlineStr">
        <is>
          <t>Message Card</t>
        </is>
      </c>
      <c r="D6" s="9" t="inlineStr">
        <is>
          <t>หลายพวง validate แยก</t>
        </is>
      </c>
      <c r="E6" s="9" t="inlineStr">
        <is>
          <t>Integration</t>
        </is>
      </c>
      <c r="F6" s="9" t="inlineStr">
        <is>
          <t>Positive</t>
        </is>
      </c>
      <c r="G6" s="9" t="inlineStr">
        <is>
          <t>High</t>
        </is>
      </c>
      <c r="H6" s="9" t="inlineStr">
        <is>
          <t>Not Started</t>
        </is>
      </c>
      <c r="I6" s="9" t="inlineStr">
        <is>
          <t>Yes</t>
        </is>
      </c>
      <c r="J6" s="9" t="n"/>
      <c r="K6" s="9" t="n"/>
      <c r="L6" s="9" t="inlineStr">
        <is>
          <t>TD-36 (2 พวง)</t>
        </is>
      </c>
      <c r="M6" s="9" t="inlineStr">
        <is>
          <t>TD-36</t>
        </is>
      </c>
      <c r="N6" s="9" t="inlineStr">
        <is>
          <t>กรอกป้ายพวงที่ 1 ไม่กรอกพวงที่ 2 → submit checkout</t>
        </is>
      </c>
      <c r="O6" s="9" t="inlineStr">
        <is>
          <t>submit disable "กรุณากรอกข้อความป้ายให้ครบทุกพวงหรีด"</t>
        </is>
      </c>
      <c r="P6" s="9" t="inlineStr">
        <is>
          <t>validateMessageCards</t>
        </is>
      </c>
      <c r="Q6" s="9" t="n"/>
    </row>
    <row r="7">
      <c r="A7" s="9" t="inlineStr">
        <is>
          <t>TC-CARD-06</t>
        </is>
      </c>
      <c r="B7" s="9" t="inlineStr">
        <is>
          <t>Message Card / Ribbon</t>
        </is>
      </c>
      <c r="C7" s="9" t="inlineStr">
        <is>
          <t>Message Card</t>
        </is>
      </c>
      <c r="D7" s="9" t="inlineStr">
        <is>
          <t>โลโก้ใหญ่เกิน 20x20cm</t>
        </is>
      </c>
      <c r="E7" s="9" t="inlineStr">
        <is>
          <t>UI</t>
        </is>
      </c>
      <c r="F7" s="9" t="inlineStr">
        <is>
          <t>Validation</t>
        </is>
      </c>
      <c r="G7" s="9" t="inlineStr">
        <is>
          <t>Medium</t>
        </is>
      </c>
      <c r="H7" s="9" t="inlineStr">
        <is>
          <t>Not Started</t>
        </is>
      </c>
      <c r="I7" s="9" t="inlineStr">
        <is>
          <t>Yes</t>
        </is>
      </c>
      <c r="J7" s="9" t="n"/>
      <c r="K7" s="9" t="n"/>
      <c r="L7" s="9" t="inlineStr">
        <is>
          <t>TD-35 รูปใหญ่</t>
        </is>
      </c>
      <c r="M7" s="9" t="inlineStr">
        <is>
          <t>TD-35</t>
        </is>
      </c>
      <c r="N7" s="9" t="inlineStr">
        <is>
          <t>อัปโลโก้ &gt;288px</t>
        </is>
      </c>
      <c r="O7" s="9" t="inlineStr">
        <is>
          <t>toast "รูปมีขนาดใหญ่เกินไป กรุณาใช้รูปที่เล็กลง"</t>
        </is>
      </c>
      <c r="P7" s="9" t="inlineStr">
        <is>
          <t>MessageCardModal.tsx</t>
        </is>
      </c>
      <c r="Q7" s="9" t="n"/>
    </row>
    <row r="8">
      <c r="A8" s="9" t="inlineStr">
        <is>
          <t>TC-CARD-07</t>
        </is>
      </c>
      <c r="B8" s="9" t="inlineStr">
        <is>
          <t>Message Card / Ribbon</t>
        </is>
      </c>
      <c r="C8" s="9" t="inlineStr">
        <is>
          <t>Message Card</t>
        </is>
      </c>
      <c r="D8" s="9" t="inlineStr">
        <is>
          <t>อัปโหลดล้มเหลว</t>
        </is>
      </c>
      <c r="E8" s="9" t="inlineStr">
        <is>
          <t>UI</t>
        </is>
      </c>
      <c r="F8" s="9" t="inlineStr">
        <is>
          <t>Negative</t>
        </is>
      </c>
      <c r="G8" s="9" t="inlineStr">
        <is>
          <t>Medium</t>
        </is>
      </c>
      <c r="H8" s="9" t="inlineStr">
        <is>
          <t>Not Started</t>
        </is>
      </c>
      <c r="I8" s="9" t="inlineStr">
        <is>
          <t>Partial</t>
        </is>
      </c>
      <c r="J8" s="9" t="n"/>
      <c r="K8" s="9" t="n"/>
      <c r="L8" s="9" t="inlineStr">
        <is>
          <t>mock media error</t>
        </is>
      </c>
      <c r="M8" s="9" t="inlineStr">
        <is>
          <t>TD-24</t>
        </is>
      </c>
      <c r="N8" s="9" t="inlineStr">
        <is>
          <t>อัปโลโก้ตอน API down</t>
        </is>
      </c>
      <c r="O8" s="9" t="inlineStr">
        <is>
          <t>toast "...กรุณาลองใหม่อีกครั้ง"</t>
        </is>
      </c>
      <c r="P8" s="9" t="inlineStr">
        <is>
          <t>media.ts</t>
        </is>
      </c>
      <c r="Q8" s="9" t="n"/>
    </row>
    <row r="9">
      <c r="A9" s="9" t="inlineStr">
        <is>
          <t>TC-CARD-08</t>
        </is>
      </c>
      <c r="B9" s="9" t="inlineStr">
        <is>
          <t>Message Card / Ribbon</t>
        </is>
      </c>
      <c r="C9" s="9" t="inlineStr">
        <is>
          <t>Message Card</t>
        </is>
      </c>
      <c r="D9" s="9" t="inlineStr">
        <is>
          <t>ไฟล์ไม่ใช่รูป</t>
        </is>
      </c>
      <c r="E9" s="9" t="inlineStr">
        <is>
          <t>UI</t>
        </is>
      </c>
      <c r="F9" s="9" t="inlineStr">
        <is>
          <t>Negative</t>
        </is>
      </c>
      <c r="G9" s="9" t="inlineStr">
        <is>
          <t>Low</t>
        </is>
      </c>
      <c r="H9" s="9" t="inlineStr">
        <is>
          <t>Not Started</t>
        </is>
      </c>
      <c r="I9" s="9" t="inlineStr">
        <is>
          <t>Yes</t>
        </is>
      </c>
      <c r="J9" s="9" t="n"/>
      <c r="K9" s="9" t="n"/>
      <c r="L9" s="9" t="inlineStr">
        <is>
          <t>TD-35 non-image</t>
        </is>
      </c>
      <c r="M9" s="9" t="inlineStr">
        <is>
          <t>TD-35</t>
        </is>
      </c>
      <c r="N9" s="9" t="inlineStr">
        <is>
          <t>เลือก .pdf</t>
        </is>
      </c>
      <c r="O9" s="9" t="inlineStr">
        <is>
          <t>accept="image/*" กรอง / BE reject</t>
        </is>
      </c>
      <c r="P9" s="9" t="inlineStr">
        <is>
          <t>media.ts</t>
        </is>
      </c>
      <c r="Q9" s="9" t="n"/>
    </row>
    <row r="10">
      <c r="A10" s="9" t="inlineStr">
        <is>
          <t>TC-CARD-09</t>
        </is>
      </c>
      <c r="B10" s="9" t="inlineStr">
        <is>
          <t>Message Card / Ribbon</t>
        </is>
      </c>
      <c r="C10" s="9" t="inlineStr">
        <is>
          <t>Message Card</t>
        </is>
      </c>
      <c r="D10" s="9" t="inlineStr">
        <is>
          <t>ลบโลโก้แล้วอัปใหม่</t>
        </is>
      </c>
      <c r="E10" s="9" t="inlineStr">
        <is>
          <t>UI</t>
        </is>
      </c>
      <c r="F10" s="9" t="inlineStr">
        <is>
          <t>Functional</t>
        </is>
      </c>
      <c r="G10" s="9" t="inlineStr">
        <is>
          <t>Low</t>
        </is>
      </c>
      <c r="H10" s="9" t="inlineStr">
        <is>
          <t>Not Started</t>
        </is>
      </c>
      <c r="I10" s="9" t="inlineStr">
        <is>
          <t>Yes</t>
        </is>
      </c>
      <c r="J10" s="9" t="n"/>
      <c r="K10" s="9" t="n"/>
      <c r="L10" s="9" t="inlineStr">
        <is>
          <t>เปิด modal</t>
        </is>
      </c>
      <c r="M10" s="9" t="inlineStr">
        <is>
          <t>TD-35</t>
        </is>
      </c>
      <c r="N10" s="9" t="inlineStr">
        <is>
          <t>อัป → ลบ → อัปใหม่</t>
        </is>
      </c>
      <c r="O10" s="9" t="inlineStr">
        <is>
          <t>logoID reset แล้วได้ค่าใหม่</t>
        </is>
      </c>
      <c r="P10" s="9" t="inlineStr">
        <is>
          <t>MessageCardModal.tsx</t>
        </is>
      </c>
      <c r="Q10" s="9" t="n"/>
    </row>
    <row r="11">
      <c r="A11" s="9" t="inlineStr">
        <is>
          <t>TC-CARD-10</t>
        </is>
      </c>
      <c r="B11" s="9" t="inlineStr">
        <is>
          <t>Message Card / Ribbon</t>
        </is>
      </c>
      <c r="C11" s="9" t="inlineStr">
        <is>
          <t>Message Card</t>
        </is>
      </c>
      <c r="D11" s="9" t="inlineStr">
        <is>
          <t>ลบสินค้า → cleanup key</t>
        </is>
      </c>
      <c r="E11" s="9" t="inlineStr">
        <is>
          <t>Integration</t>
        </is>
      </c>
      <c r="F11" s="9" t="inlineStr">
        <is>
          <t>Session</t>
        </is>
      </c>
      <c r="G11" s="9" t="inlineStr">
        <is>
          <t>High</t>
        </is>
      </c>
      <c r="H11" s="9" t="inlineStr">
        <is>
          <t>Not Started</t>
        </is>
      </c>
      <c r="I11" s="9" t="inlineStr">
        <is>
          <t>Yes</t>
        </is>
      </c>
      <c r="J11" s="9" t="n"/>
      <c r="K11" s="9" t="n"/>
      <c r="L11" s="9" t="inlineStr">
        <is>
          <t>มีป้าย+สินค้า</t>
        </is>
      </c>
      <c r="M11" s="9" t="inlineStr">
        <is>
          <t>TD-03</t>
        </is>
      </c>
      <c r="N11" s="9" t="inlineStr">
        <is>
          <t>ลบสินค้าออกจาก cart</t>
        </is>
      </c>
      <c r="O11" s="9" t="inlineStr">
        <is>
          <t>messageCardModal-* ถูกล้าง (ไม่รั่วไปออเดอร์ใหม่)</t>
        </is>
      </c>
      <c r="P11" s="9" t="inlineStr">
        <is>
          <t>useCart:43-53</t>
        </is>
      </c>
      <c r="Q11" s="9" t="n"/>
    </row>
    <row r="12">
      <c r="A12" s="9" t="inlineStr">
        <is>
          <t>TC-CARD-11</t>
        </is>
      </c>
      <c r="B12" s="9" t="inlineStr">
        <is>
          <t>Message Card / Ribbon</t>
        </is>
      </c>
      <c r="C12" s="9" t="inlineStr">
        <is>
          <t>Message Card</t>
        </is>
      </c>
      <c r="D12" s="9" t="inlineStr">
        <is>
          <t>payload attachments</t>
        </is>
      </c>
      <c r="E12" s="9" t="inlineStr">
        <is>
          <t>API</t>
        </is>
      </c>
      <c r="F12" s="9" t="inlineStr">
        <is>
          <t>Integration</t>
        </is>
      </c>
      <c r="G12" s="9" t="inlineStr">
        <is>
          <t>Medium</t>
        </is>
      </c>
      <c r="H12" s="9" t="inlineStr">
        <is>
          <t>Not Started</t>
        </is>
      </c>
      <c r="I12" s="9" t="inlineStr">
        <is>
          <t>Yes</t>
        </is>
      </c>
      <c r="J12" s="9" t="n"/>
      <c r="K12" s="9" t="n"/>
      <c r="L12" s="9" t="inlineStr">
        <is>
          <t>กรอกป้ายครบ</t>
        </is>
      </c>
      <c r="M12" s="9" t="inlineStr">
        <is>
          <t>TD-03</t>
        </is>
      </c>
      <c r="N12" s="9" t="inlineStr">
        <is>
          <t>submit order</t>
        </is>
      </c>
      <c r="O12" s="9" t="inlineStr">
        <is>
          <t>attachments[] มี logo_id/card_id/attached_message_1/2 ถูก</t>
        </is>
      </c>
      <c r="P12" s="9" t="inlineStr">
        <is>
          <t>getProductPayload:81-137</t>
        </is>
      </c>
      <c r="Q12" s="9" t="n"/>
    </row>
    <row r="13">
      <c r="A13" s="9" t="inlineStr">
        <is>
          <t>TC-CARD-12</t>
        </is>
      </c>
      <c r="B13" s="9" t="inlineStr">
        <is>
          <t>Message Card / Ribbon</t>
        </is>
      </c>
      <c r="C13" s="9" t="inlineStr">
        <is>
          <t>Message Card</t>
        </is>
      </c>
      <c r="D13" s="9" t="inlineStr">
        <is>
          <t>card-size default</t>
        </is>
      </c>
      <c r="E13" s="9" t="inlineStr">
        <is>
          <t>UI</t>
        </is>
      </c>
      <c r="F13" s="9" t="inlineStr">
        <is>
          <t>Positive</t>
        </is>
      </c>
      <c r="G13" s="9" t="inlineStr">
        <is>
          <t>Low</t>
        </is>
      </c>
      <c r="H13" s="9" t="inlineStr">
        <is>
          <t>Not Started</t>
        </is>
      </c>
      <c r="I13" s="9" t="inlineStr">
        <is>
          <t>Yes</t>
        </is>
      </c>
      <c r="J13" s="9" t="n"/>
      <c r="K13" s="9" t="n"/>
      <c r="L13" s="9" t="inlineStr">
        <is>
          <t>เปิด MessageCardForWreath</t>
        </is>
      </c>
      <c r="M13" s="9" t="inlineStr">
        <is>
          <t>TD-03</t>
        </is>
      </c>
      <c r="N13" s="9" t="inlineStr">
        <is>
          <t>โหลด component</t>
        </is>
      </c>
      <c r="O13" s="9" t="inlineStr">
        <is>
          <t>แสดงขนาด/พื้นหลัง default จาก card-size</t>
        </is>
      </c>
      <c r="P13" s="9" t="inlineStr">
        <is>
          <t>card-size.ts</t>
        </is>
      </c>
      <c r="Q13" s="9" t="n"/>
    </row>
  </sheetData>
  <autoFilter ref="A1:Q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Q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2" customWidth="1" min="5" max="5"/>
    <col width="14" customWidth="1" min="6" max="6"/>
    <col width="9" customWidth="1" min="7" max="7"/>
    <col width="13" customWidth="1" min="8" max="8"/>
    <col width="11" customWidth="1" min="9" max="9"/>
    <col width="11" customWidth="1" min="10" max="10"/>
    <col width="22" customWidth="1" min="11" max="11"/>
    <col width="22" customWidth="1" min="12" max="12"/>
    <col width="14" customWidth="1" min="13" max="13"/>
    <col width="42" customWidth="1" min="14" max="14"/>
    <col width="44" customWidth="1" min="15" max="15"/>
    <col width="28" customWidth="1" min="16" max="16"/>
    <col width="18" customWidth="1" min="17" max="17"/>
  </cols>
  <sheetData>
    <row r="1">
      <c r="A1" s="8" t="inlineStr">
        <is>
          <t>Test Case ID</t>
        </is>
      </c>
      <c r="B1" s="8" t="inlineStr">
        <is>
          <t>Group</t>
        </is>
      </c>
      <c r="C1" s="8" t="inlineStr">
        <is>
          <t>Module</t>
        </is>
      </c>
      <c r="D1" s="8" t="inlineStr">
        <is>
          <t>Feature</t>
        </is>
      </c>
      <c r="E1" s="8" t="inlineStr">
        <is>
          <t>Test Level</t>
        </is>
      </c>
      <c r="F1" s="8" t="inlineStr">
        <is>
          <t>Test Type</t>
        </is>
      </c>
      <c r="G1" s="8" t="inlineStr">
        <is>
          <t>Priority</t>
        </is>
      </c>
      <c r="H1" s="8" t="inlineStr">
        <is>
          <t>Script Status</t>
        </is>
      </c>
      <c r="I1" s="8" t="inlineStr">
        <is>
          <t>Automatable</t>
        </is>
      </c>
      <c r="J1" s="8" t="inlineStr">
        <is>
          <t>Assignee</t>
        </is>
      </c>
      <c r="K1" s="8" t="inlineStr">
        <is>
          <t>Script File / Notes</t>
        </is>
      </c>
      <c r="L1" s="8" t="inlineStr">
        <is>
          <t>Preconditions</t>
        </is>
      </c>
      <c r="M1" s="8" t="inlineStr">
        <is>
          <t>Test Data</t>
        </is>
      </c>
      <c r="N1" s="8" t="inlineStr">
        <is>
          <t>Test Steps</t>
        </is>
      </c>
      <c r="O1" s="8" t="inlineStr">
        <is>
          <t>Expected Result</t>
        </is>
      </c>
      <c r="P1" s="8" t="inlineStr">
        <is>
          <t>Code Evidence</t>
        </is>
      </c>
      <c r="Q1" s="8" t="inlineStr">
        <is>
          <t>Remark</t>
        </is>
      </c>
    </row>
    <row r="2">
      <c r="A2" s="9" t="inlineStr">
        <is>
          <t>TC-DISC-01</t>
        </is>
      </c>
      <c r="B2" s="9" t="inlineStr">
        <is>
          <t>Product Discovery</t>
        </is>
      </c>
      <c r="C2" s="9" t="inlineStr">
        <is>
          <t>Listing</t>
        </is>
      </c>
      <c r="D2" s="9" t="inlineStr">
        <is>
          <t>sort mapping</t>
        </is>
      </c>
      <c r="E2" s="9" t="inlineStr">
        <is>
          <t>UI</t>
        </is>
      </c>
      <c r="F2" s="9" t="inlineStr">
        <is>
          <t>Functional</t>
        </is>
      </c>
      <c r="G2" s="9" t="inlineStr">
        <is>
          <t>Medium</t>
        </is>
      </c>
      <c r="H2" s="9" t="inlineStr">
        <is>
          <t>Blocked</t>
        </is>
      </c>
      <c r="I2" s="9" t="inlineStr">
        <is>
          <t>Partial</t>
        </is>
      </c>
      <c r="J2" s="9" t="n"/>
      <c r="K2" s="9" t="inlineStr">
        <is>
          <t>FINDING: เลือก sort แล้ว URL ได้แค่ ?page=1 ไม่มี sort= และลำดับไม่เปลี่ยน — ยืนยันกับ dev</t>
        </is>
      </c>
      <c r="L2" s="9" t="inlineStr">
        <is>
          <t>listing</t>
        </is>
      </c>
      <c r="M2" s="9" t="inlineStr">
        <is>
          <t>TD-03</t>
        </is>
      </c>
      <c r="N2" s="9" t="inlineStr">
        <is>
          <t>เลือก "แนะนำ" / "ช่วงราคา"</t>
        </is>
      </c>
      <c r="O2" s="9" t="inlineStr">
        <is>
          <t>URL/query → recommend / price, ลำดับเปลี่ยน</t>
        </is>
      </c>
      <c r="P2" s="9" t="inlineStr">
        <is>
          <t>filter.ts:41-42</t>
        </is>
      </c>
      <c r="Q2" s="9" t="n"/>
    </row>
    <row r="3">
      <c r="A3" s="9" t="inlineStr">
        <is>
          <t>TC-DISC-02</t>
        </is>
      </c>
      <c r="B3" s="9" t="inlineStr">
        <is>
          <t>Product Discovery</t>
        </is>
      </c>
      <c r="C3" s="9" t="inlineStr">
        <is>
          <t>Listing</t>
        </is>
      </c>
      <c r="D3" s="9" t="inlineStr">
        <is>
          <t>filter tag (and/or)</t>
        </is>
      </c>
      <c r="E3" s="9" t="inlineStr">
        <is>
          <t>UI</t>
        </is>
      </c>
      <c r="F3" s="9" t="inlineStr">
        <is>
          <t>Functional</t>
        </is>
      </c>
      <c r="G3" s="9" t="inlineStr">
        <is>
          <t>Medium</t>
        </is>
      </c>
      <c r="H3" s="9" t="inlineStr">
        <is>
          <t>Blocked</t>
        </is>
      </c>
      <c r="I3" s="9" t="inlineStr">
        <is>
          <t>Partial</t>
        </is>
      </c>
      <c r="J3" s="9" t="n"/>
      <c r="K3" s="9" t="inlineStr">
        <is>
          <t>filter ไม่ใช่ checkbox มาตรฐาน/ซ่อน + คาดว่าไม่ reflect URL (เทียบ sort) — ต้อง probe ลึก</t>
        </is>
      </c>
      <c r="L3" s="9" t="inlineStr">
        <is>
          <t>listing</t>
        </is>
      </c>
      <c r="M3" s="9" t="inlineStr">
        <is>
          <t>TD-03</t>
        </is>
      </c>
      <c r="N3" s="9" t="inlineStr">
        <is>
          <t>เลือกหลาย tag</t>
        </is>
      </c>
      <c r="O3" s="9" t="inlineStr">
        <is>
          <t>tag_ids_operand and/or ถูกต้อง</t>
        </is>
      </c>
      <c r="P3" s="9" t="inlineStr">
        <is>
          <t>StoreController::_products</t>
        </is>
      </c>
      <c r="Q3" s="9" t="n"/>
    </row>
    <row r="4">
      <c r="A4" s="9" t="inlineStr">
        <is>
          <t>TC-DISC-03</t>
        </is>
      </c>
      <c r="B4" s="9" t="inlineStr">
        <is>
          <t>Product Discovery</t>
        </is>
      </c>
      <c r="C4" s="9" t="inlineStr">
        <is>
          <t>Search</t>
        </is>
      </c>
      <c r="D4" s="9" t="inlineStr">
        <is>
          <t>search ?keyword=</t>
        </is>
      </c>
      <c r="E4" s="9" t="inlineStr">
        <is>
          <t>UI</t>
        </is>
      </c>
      <c r="F4" s="9" t="inlineStr">
        <is>
          <t>Functional</t>
        </is>
      </c>
      <c r="G4" s="9" t="inlineStr">
        <is>
          <t>Medium</t>
        </is>
      </c>
      <c r="H4" s="9" t="inlineStr">
        <is>
          <t>Blocked</t>
        </is>
      </c>
      <c r="I4" s="9" t="inlineStr">
        <is>
          <t>Partial</t>
        </is>
      </c>
      <c r="J4" s="9" t="n"/>
      <c r="K4" s="9" t="inlineStr">
        <is>
          <t>?keyword=บุหลัน ไม่กรองผล (15 เท่าเดิม) — ยืนยัน behavior กับ dev</t>
        </is>
      </c>
      <c r="L4" s="9" t="inlineStr">
        <is>
          <t>-</t>
        </is>
      </c>
      <c r="M4" s="9" t="inlineStr">
        <is>
          <t>TD-03</t>
        </is>
      </c>
      <c r="N4" s="9" t="inlineStr">
        <is>
          <t>เปิด /ร้านพวงหรีด/...?keyword=xxx</t>
        </is>
      </c>
      <c r="O4" s="9" t="inlineStr">
        <is>
          <t>กรองตาม keyword (ไม่มีกล่อง UI)</t>
        </is>
      </c>
      <c r="P4" s="9" t="inlineStr">
        <is>
          <t>products/page.tsx:62-68</t>
        </is>
      </c>
      <c r="Q4" s="9" t="n"/>
    </row>
    <row r="5">
      <c r="A5" s="9" t="inlineStr">
        <is>
          <t>TC-DISC-04</t>
        </is>
      </c>
      <c r="B5" s="9" t="inlineStr">
        <is>
          <t>Product Discovery</t>
        </is>
      </c>
      <c r="C5" s="9" t="inlineStr">
        <is>
          <t>Listing</t>
        </is>
      </c>
      <c r="D5" s="9" t="inlineStr">
        <is>
          <t>pagination + คง URL</t>
        </is>
      </c>
      <c r="E5" s="9" t="inlineStr">
        <is>
          <t>UI</t>
        </is>
      </c>
      <c r="F5" s="9" t="inlineStr">
        <is>
          <t>Functional</t>
        </is>
      </c>
      <c r="G5" s="9" t="inlineStr">
        <is>
          <t>Medium</t>
        </is>
      </c>
      <c r="H5" s="9" t="inlineStr">
        <is>
          <t>Script Done</t>
        </is>
      </c>
      <c r="I5" s="9" t="inlineStr">
        <is>
          <t>Yes</t>
        </is>
      </c>
      <c r="J5" s="9" t="n"/>
      <c r="K5" s="9" t="inlineStr">
        <is>
          <t>tests/discovery/TC-DISC-04_pagination.robot — PASS (15/หน้า, ?page=2)</t>
        </is>
      </c>
      <c r="L5" s="9" t="inlineStr">
        <is>
          <t>listing &gt;15 ชิ้น</t>
        </is>
      </c>
      <c r="M5" s="9" t="inlineStr">
        <is>
          <t>TD-03</t>
        </is>
      </c>
      <c r="N5" s="9" t="inlineStr">
        <is>
          <t>เปลี่ยนหน้า → refresh</t>
        </is>
      </c>
      <c r="O5" s="9" t="inlineStr">
        <is>
          <t>15/หน้า, state คงใน URL</t>
        </is>
      </c>
      <c r="P5" s="9" t="inlineStr">
        <is>
          <t>products/page.tsx</t>
        </is>
      </c>
      <c r="Q5" s="9" t="n"/>
    </row>
    <row r="6">
      <c r="A6" s="9" t="inlineStr">
        <is>
          <t>TC-DISC-05</t>
        </is>
      </c>
      <c r="B6" s="9" t="inlineStr">
        <is>
          <t>Product Discovery</t>
        </is>
      </c>
      <c r="C6" s="9" t="inlineStr">
        <is>
          <t>Wizard</t>
        </is>
      </c>
      <c r="D6" s="9" t="inlineStr">
        <is>
          <t>wizard แนะนำเฉพาะคุณ</t>
        </is>
      </c>
      <c r="E6" s="9" t="inlineStr">
        <is>
          <t>UI</t>
        </is>
      </c>
      <c r="F6" s="9" t="inlineStr">
        <is>
          <t>Functional</t>
        </is>
      </c>
      <c r="G6" s="9" t="inlineStr">
        <is>
          <t>Medium</t>
        </is>
      </c>
      <c r="H6" s="9" t="inlineStr">
        <is>
          <t>Script Done</t>
        </is>
      </c>
      <c r="I6" s="9" t="inlineStr">
        <is>
          <t>Partial</t>
        </is>
      </c>
      <c r="J6" s="9" t="n"/>
      <c r="K6" s="9" t="inlineStr">
        <is>
          <t>tests/discovery/TC-DISC-05_wizard-listing-smoke.robot — PASS (smoke; cookie-match รอ TD-37)</t>
        </is>
      </c>
      <c r="L6" s="9" t="inlineStr">
        <is>
          <t>TD-37</t>
        </is>
      </c>
      <c r="M6" s="9" t="inlineStr">
        <is>
          <t>TD-37</t>
        </is>
      </c>
      <c r="N6" s="9" t="inlineStr">
        <is>
          <t>เปิด products-special ที่มี cookie</t>
        </is>
      </c>
      <c r="O6" s="9" t="inlineStr">
        <is>
          <t>สินค้าตรง key_1..4, load more 20</t>
        </is>
      </c>
      <c r="P6" s="9" t="inlineStr">
        <is>
          <t>products-special/page.tsx</t>
        </is>
      </c>
      <c r="Q6" s="9" t="n"/>
    </row>
    <row r="7">
      <c r="A7" s="9" t="inlineStr">
        <is>
          <t>TC-DISC-06</t>
        </is>
      </c>
      <c r="B7" s="9" t="inlineStr">
        <is>
          <t>Product Discovery</t>
        </is>
      </c>
      <c r="C7" s="9" t="inlineStr">
        <is>
          <t>Listing</t>
        </is>
      </c>
      <c r="D7" s="9" t="inlineStr">
        <is>
          <t>EXCLUDED_TAGS ไม่โผล่</t>
        </is>
      </c>
      <c r="E7" s="9" t="inlineStr">
        <is>
          <t>API</t>
        </is>
      </c>
      <c r="F7" s="9" t="inlineStr">
        <is>
          <t>Negative</t>
        </is>
      </c>
      <c r="G7" s="9" t="inlineStr">
        <is>
          <t>Medium</t>
        </is>
      </c>
      <c r="H7" s="9" t="inlineStr">
        <is>
          <t>Blocked</t>
        </is>
      </c>
      <c r="I7" s="9" t="inlineStr">
        <is>
          <t>Partial</t>
        </is>
      </c>
      <c r="J7" s="9" t="n"/>
      <c r="K7" s="9" t="inlineStr">
        <is>
          <t>ต้องมี slug สินค้าที่ติด EXCLUDED_TAGS ที่ยืนยันแล้ว เพื่อ assert ว่าไม่โผล่</t>
        </is>
      </c>
      <c r="L7" s="9" t="inlineStr">
        <is>
          <t>หมวดมี excluded tag</t>
        </is>
      </c>
      <c r="M7" s="9" t="inlineStr">
        <is>
          <t>TD-03</t>
        </is>
      </c>
      <c r="N7" s="9" t="inlineStr">
        <is>
          <t>ดู listing</t>
        </is>
      </c>
      <c r="O7" s="9" t="inlineStr">
        <is>
          <t>สินค้า excluded ไม่แสดง</t>
        </is>
      </c>
      <c r="P7" s="9" t="inlineStr">
        <is>
          <t>process_excluded_tags</t>
        </is>
      </c>
      <c r="Q7" s="9" t="n"/>
    </row>
    <row r="8">
      <c r="A8" s="9" t="inlineStr">
        <is>
          <t>TC-DISC-07</t>
        </is>
      </c>
      <c r="B8" s="9" t="inlineStr">
        <is>
          <t>Product Discovery</t>
        </is>
      </c>
      <c r="C8" s="9" t="inlineStr">
        <is>
          <t>Product Detail</t>
        </is>
      </c>
      <c r="D8" s="9" t="inlineStr">
        <is>
          <t>allow_add_to_cart=false</t>
        </is>
      </c>
      <c r="E8" s="9" t="inlineStr">
        <is>
          <t>UI</t>
        </is>
      </c>
      <c r="F8" s="9" t="inlineStr">
        <is>
          <t>Negative</t>
        </is>
      </c>
      <c r="G8" s="9" t="inlineStr">
        <is>
          <t>Medium</t>
        </is>
      </c>
      <c r="H8" s="9" t="inlineStr">
        <is>
          <t>Blocked</t>
        </is>
      </c>
      <c r="I8" s="9" t="inlineStr">
        <is>
          <t>Yes</t>
        </is>
      </c>
      <c r="J8" s="9" t="n"/>
      <c r="K8" s="9" t="inlineStr">
        <is>
          <t>testdata slug b301-wnw-วลิลา-01-16 ยังมีปุ่มซื้อ (ไม่ใช่ allow_add_to_cart=false) — รอ slug จริง TD-04</t>
        </is>
      </c>
      <c r="L8" s="9" t="inlineStr">
        <is>
          <t>TD-04</t>
        </is>
      </c>
      <c r="M8" s="9" t="inlineStr">
        <is>
          <t>TD-04</t>
        </is>
      </c>
      <c r="N8" s="9" t="inlineStr">
        <is>
          <t>เปิด PDP สินค้าสั่งไม่ได้</t>
        </is>
      </c>
      <c r="O8" s="9" t="inlineStr">
        <is>
          <t>ซ่อน Buy Now + แสดงลิงก์ LINE</t>
        </is>
      </c>
      <c r="P8" s="9" t="inlineStr">
        <is>
          <t>ProductButton.tsx:131-150</t>
        </is>
      </c>
      <c r="Q8" s="9" t="n"/>
    </row>
    <row r="9">
      <c r="A9" s="9" t="inlineStr">
        <is>
          <t>TC-DISC-08</t>
        </is>
      </c>
      <c r="B9" s="9" t="inlineStr">
        <is>
          <t>Product Discovery</t>
        </is>
      </c>
      <c r="C9" s="9" t="inlineStr">
        <is>
          <t>Product Detail</t>
        </is>
      </c>
      <c r="D9" s="9" t="inlineStr">
        <is>
          <t>ราคา promotion vs regular</t>
        </is>
      </c>
      <c r="E9" s="9" t="inlineStr">
        <is>
          <t>UI</t>
        </is>
      </c>
      <c r="F9" s="9" t="inlineStr">
        <is>
          <t>Functional</t>
        </is>
      </c>
      <c r="G9" s="9" t="inlineStr">
        <is>
          <t>Medium</t>
        </is>
      </c>
      <c r="H9" s="9" t="inlineStr">
        <is>
          <t>Script Done</t>
        </is>
      </c>
      <c r="I9" s="9" t="inlineStr">
        <is>
          <t>Yes</t>
        </is>
      </c>
      <c r="J9" s="9" t="n"/>
      <c r="K9" s="9" t="inlineStr">
        <is>
          <t>tests/discovery/TC-DISC-08_promotion-price.robot — PASS (H014 ราคาตัดทอน ฿1,899)</t>
        </is>
      </c>
      <c r="L9" s="9" t="inlineStr">
        <is>
          <t>สินค้ามีโปร</t>
        </is>
      </c>
      <c r="M9" s="9" t="inlineStr">
        <is>
          <t>TD-03</t>
        </is>
      </c>
      <c r="N9" s="9" t="inlineStr">
        <is>
          <t>เปิด PDP/listing</t>
        </is>
      </c>
      <c r="O9" s="9" t="inlineStr">
        <is>
          <t>แสดงราคาโปร + ราคาตัดทอน</t>
        </is>
      </c>
      <c r="P9" s="9" t="inlineStr">
        <is>
          <t>_products promotion</t>
        </is>
      </c>
      <c r="Q9" s="9" t="n"/>
    </row>
    <row r="10">
      <c r="A10" s="9" t="inlineStr">
        <is>
          <t>TC-DISC-09</t>
        </is>
      </c>
      <c r="B10" s="9" t="inlineStr">
        <is>
          <t>Product Discovery</t>
        </is>
      </c>
      <c r="C10" s="9" t="inlineStr">
        <is>
          <t>Special pages</t>
        </is>
      </c>
      <c r="D10" s="9" t="inlineStr">
        <is>
          <t>express/promotion/donate</t>
        </is>
      </c>
      <c r="E10" s="9" t="inlineStr">
        <is>
          <t>UI</t>
        </is>
      </c>
      <c r="F10" s="9" t="inlineStr">
        <is>
          <t>Smoke</t>
        </is>
      </c>
      <c r="G10" s="9" t="inlineStr">
        <is>
          <t>Low</t>
        </is>
      </c>
      <c r="H10" s="9" t="inlineStr">
        <is>
          <t>Script Done</t>
        </is>
      </c>
      <c r="I10" s="9" t="inlineStr">
        <is>
          <t>Yes</t>
        </is>
      </c>
      <c r="J10" s="9" t="n"/>
      <c r="K10" s="9" t="inlineStr">
        <is>
          <t>tests/discovery/TC-DISC-09_special-listings-smoke.robot — PASS (express+promotion); donate ตัดออก (finding)</t>
        </is>
      </c>
      <c r="L10" s="9" t="inlineStr">
        <is>
          <t>-</t>
        </is>
      </c>
      <c r="M10" s="9" t="n"/>
      <c r="N10" s="9" t="inlineStr">
        <is>
          <t>เปิด product-express, wreath-promotion, wreath-donate</t>
        </is>
      </c>
      <c r="O10" s="9" t="inlineStr">
        <is>
          <t>render, ปุ่ม LINE/pagination ทำงาน</t>
        </is>
      </c>
      <c r="P10" s="9" t="inlineStr">
        <is>
          <t>routes</t>
        </is>
      </c>
      <c r="Q10" s="9" t="n"/>
    </row>
    <row r="11">
      <c r="A11" s="9" t="inlineStr">
        <is>
          <t>TC-DISC-10</t>
        </is>
      </c>
      <c r="B11" s="9" t="inlineStr">
        <is>
          <t>Product Discovery</t>
        </is>
      </c>
      <c r="C11" s="9" t="inlineStr">
        <is>
          <t>Location pages</t>
        </is>
      </c>
      <c r="D11" s="9" t="inlineStr">
        <is>
          <t>near-temple/near-me</t>
        </is>
      </c>
      <c r="E11" s="9" t="inlineStr">
        <is>
          <t>UI</t>
        </is>
      </c>
      <c r="F11" s="9" t="inlineStr">
        <is>
          <t>Smoke</t>
        </is>
      </c>
      <c r="G11" s="9" t="inlineStr">
        <is>
          <t>Low</t>
        </is>
      </c>
      <c r="H11" s="9" t="inlineStr">
        <is>
          <t>Script Done</t>
        </is>
      </c>
      <c r="I11" s="9" t="inlineStr">
        <is>
          <t>Yes</t>
        </is>
      </c>
      <c r="J11" s="9" t="n"/>
      <c r="K11" s="9" t="inlineStr">
        <is>
          <t>tests/discovery/TC-DISC-10_near-me-smoke.robot — PASS</t>
        </is>
      </c>
      <c r="L11" s="9" t="inlineStr">
        <is>
          <t>-</t>
        </is>
      </c>
      <c r="M11" s="9" t="n"/>
      <c r="N11" s="9" t="inlineStr">
        <is>
          <t>เปิด servicelocation/[slug], wreath-nearme</t>
        </is>
      </c>
      <c r="O11" s="9" t="inlineStr">
        <is>
          <t>location selector ตามจังหวัด</t>
        </is>
      </c>
      <c r="P11" s="9" t="inlineStr">
        <is>
          <t>routes</t>
        </is>
      </c>
      <c r="Q11" s="9" t="n"/>
    </row>
  </sheetData>
  <autoFilter ref="A1:Q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Q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2" customWidth="1" min="5" max="5"/>
    <col width="14" customWidth="1" min="6" max="6"/>
    <col width="9" customWidth="1" min="7" max="7"/>
    <col width="13" customWidth="1" min="8" max="8"/>
    <col width="11" customWidth="1" min="9" max="9"/>
    <col width="11" customWidth="1" min="10" max="10"/>
    <col width="22" customWidth="1" min="11" max="11"/>
    <col width="22" customWidth="1" min="12" max="12"/>
    <col width="14" customWidth="1" min="13" max="13"/>
    <col width="42" customWidth="1" min="14" max="14"/>
    <col width="44" customWidth="1" min="15" max="15"/>
    <col width="28" customWidth="1" min="16" max="16"/>
    <col width="18" customWidth="1" min="17" max="17"/>
  </cols>
  <sheetData>
    <row r="1">
      <c r="A1" s="8" t="inlineStr">
        <is>
          <t>Test Case ID</t>
        </is>
      </c>
      <c r="B1" s="8" t="inlineStr">
        <is>
          <t>Group</t>
        </is>
      </c>
      <c r="C1" s="8" t="inlineStr">
        <is>
          <t>Module</t>
        </is>
      </c>
      <c r="D1" s="8" t="inlineStr">
        <is>
          <t>Feature</t>
        </is>
      </c>
      <c r="E1" s="8" t="inlineStr">
        <is>
          <t>Test Level</t>
        </is>
      </c>
      <c r="F1" s="8" t="inlineStr">
        <is>
          <t>Test Type</t>
        </is>
      </c>
      <c r="G1" s="8" t="inlineStr">
        <is>
          <t>Priority</t>
        </is>
      </c>
      <c r="H1" s="8" t="inlineStr">
        <is>
          <t>Script Status</t>
        </is>
      </c>
      <c r="I1" s="8" t="inlineStr">
        <is>
          <t>Automatable</t>
        </is>
      </c>
      <c r="J1" s="8" t="inlineStr">
        <is>
          <t>Assignee</t>
        </is>
      </c>
      <c r="K1" s="8" t="inlineStr">
        <is>
          <t>Script File / Notes</t>
        </is>
      </c>
      <c r="L1" s="8" t="inlineStr">
        <is>
          <t>Preconditions</t>
        </is>
      </c>
      <c r="M1" s="8" t="inlineStr">
        <is>
          <t>Test Data</t>
        </is>
      </c>
      <c r="N1" s="8" t="inlineStr">
        <is>
          <t>Test Steps</t>
        </is>
      </c>
      <c r="O1" s="8" t="inlineStr">
        <is>
          <t>Expected Result</t>
        </is>
      </c>
      <c r="P1" s="8" t="inlineStr">
        <is>
          <t>Code Evidence</t>
        </is>
      </c>
      <c r="Q1" s="8" t="inlineStr">
        <is>
          <t>Remark</t>
        </is>
      </c>
    </row>
    <row r="2">
      <c r="A2" s="9" t="inlineStr">
        <is>
          <t>TC-CMS-01</t>
        </is>
      </c>
      <c r="B2" s="9" t="inlineStr">
        <is>
          <t>Content / SEO</t>
        </is>
      </c>
      <c r="C2" s="9" t="inlineStr">
        <is>
          <t>Article</t>
        </is>
      </c>
      <c r="D2" s="9" t="inlineStr">
        <is>
          <t>บทความ listing + filter</t>
        </is>
      </c>
      <c r="E2" s="9" t="inlineStr">
        <is>
          <t>UI</t>
        </is>
      </c>
      <c r="F2" s="9" t="inlineStr">
        <is>
          <t>Functional</t>
        </is>
      </c>
      <c r="G2" s="9" t="inlineStr">
        <is>
          <t>Medium</t>
        </is>
      </c>
      <c r="H2" s="9" t="inlineStr">
        <is>
          <t>Blocked</t>
        </is>
      </c>
      <c r="I2" s="9" t="inlineStr">
        <is>
          <t>Yes</t>
        </is>
      </c>
      <c r="J2" s="9" t="n"/>
      <c r="K2" s="9" t="inlineStr">
        <is>
          <t>บทความ listing/filter — รอ article slug จริง (TD-38)</t>
        </is>
      </c>
      <c r="L2" s="9" t="inlineStr">
        <is>
          <t>TD-38</t>
        </is>
      </c>
      <c r="M2" s="9" t="inlineStr">
        <is>
          <t>TD-38</t>
        </is>
      </c>
      <c r="N2" s="9" t="inlineStr">
        <is>
          <t>เปิด /บทความ, เลือก category</t>
        </is>
      </c>
      <c r="O2" s="9" t="inlineStr">
        <is>
          <t>filter ทำงาน, pagination 20/หน้า</t>
        </is>
      </c>
      <c r="P2" s="9" t="inlineStr">
        <is>
          <t>article/page.tsx</t>
        </is>
      </c>
      <c r="Q2" s="9" t="n"/>
    </row>
    <row r="3">
      <c r="A3" s="9" t="inlineStr">
        <is>
          <t>TC-CMS-02</t>
        </is>
      </c>
      <c r="B3" s="9" t="inlineStr">
        <is>
          <t>Content / SEO</t>
        </is>
      </c>
      <c r="C3" s="9" t="inlineStr">
        <is>
          <t>Article</t>
        </is>
      </c>
      <c r="D3" s="9" t="inlineStr">
        <is>
          <t>บทความ detail</t>
        </is>
      </c>
      <c r="E3" s="9" t="inlineStr">
        <is>
          <t>UI</t>
        </is>
      </c>
      <c r="F3" s="9" t="inlineStr">
        <is>
          <t>Smoke</t>
        </is>
      </c>
      <c r="G3" s="9" t="inlineStr">
        <is>
          <t>Low</t>
        </is>
      </c>
      <c r="H3" s="9" t="inlineStr">
        <is>
          <t>Blocked</t>
        </is>
      </c>
      <c r="I3" s="9" t="inlineStr">
        <is>
          <t>Yes</t>
        </is>
      </c>
      <c r="J3" s="9" t="n"/>
      <c r="K3" s="9" t="inlineStr">
        <is>
          <t>บทความ detail — รอ slug (TD-38)</t>
        </is>
      </c>
      <c r="L3" s="9" t="inlineStr">
        <is>
          <t>TD-38</t>
        </is>
      </c>
      <c r="M3" s="9" t="inlineStr">
        <is>
          <t>TD-38</t>
        </is>
      </c>
      <c r="N3" s="9" t="inlineStr">
        <is>
          <t>เปิด /บทความ/[slug]</t>
        </is>
      </c>
      <c r="O3" s="9" t="inlineStr">
        <is>
          <t>render เนื้อหา + JSON-LD BreadcrumbList</t>
        </is>
      </c>
      <c r="P3" s="9" t="inlineStr">
        <is>
          <t>article/[slug]</t>
        </is>
      </c>
      <c r="Q3" s="9" t="n"/>
    </row>
    <row r="4">
      <c r="A4" s="9" t="inlineStr">
        <is>
          <t>TC-CMS-03</t>
        </is>
      </c>
      <c r="B4" s="9" t="inlineStr">
        <is>
          <t>Content / SEO</t>
        </is>
      </c>
      <c r="C4" s="9" t="inlineStr">
        <is>
          <t>Article</t>
        </is>
      </c>
      <c r="D4" s="9" t="inlineStr">
        <is>
          <t>ผู้เขียน</t>
        </is>
      </c>
      <c r="E4" s="9" t="inlineStr">
        <is>
          <t>UI</t>
        </is>
      </c>
      <c r="F4" s="9" t="inlineStr">
        <is>
          <t>Smoke</t>
        </is>
      </c>
      <c r="G4" s="9" t="inlineStr">
        <is>
          <t>Low</t>
        </is>
      </c>
      <c r="H4" s="9" t="inlineStr">
        <is>
          <t>Blocked</t>
        </is>
      </c>
      <c r="I4" s="9" t="inlineStr">
        <is>
          <t>Yes</t>
        </is>
      </c>
      <c r="J4" s="9" t="n"/>
      <c r="K4" s="9" t="inlineStr">
        <is>
          <t>ผู้เขียน — รอ author slug (TD-38)</t>
        </is>
      </c>
      <c r="L4" s="9" t="inlineStr">
        <is>
          <t>TD-38</t>
        </is>
      </c>
      <c r="M4" s="9" t="inlineStr">
        <is>
          <t>TD-38</t>
        </is>
      </c>
      <c r="N4" s="9" t="inlineStr">
        <is>
          <t>เปิด /ผู้เขียน/[slug]</t>
        </is>
      </c>
      <c r="O4" s="9" t="inlineStr">
        <is>
          <t>บทความตาม author</t>
        </is>
      </c>
      <c r="P4" s="9" t="inlineStr">
        <is>
          <t>author-article/[slug]</t>
        </is>
      </c>
      <c r="Q4" s="9" t="n"/>
    </row>
    <row r="5">
      <c r="A5" s="9" t="inlineStr">
        <is>
          <t>TC-CMS-04</t>
        </is>
      </c>
      <c r="B5" s="9" t="inlineStr">
        <is>
          <t>Content / SEO</t>
        </is>
      </c>
      <c r="C5" s="9" t="inlineStr">
        <is>
          <t>Service pages</t>
        </is>
      </c>
      <c r="D5" s="9" t="inlineStr">
        <is>
          <t>service pages static</t>
        </is>
      </c>
      <c r="E5" s="9" t="inlineStr">
        <is>
          <t>UI</t>
        </is>
      </c>
      <c r="F5" s="9" t="inlineStr">
        <is>
          <t>Smoke</t>
        </is>
      </c>
      <c r="G5" s="9" t="inlineStr">
        <is>
          <t>Low</t>
        </is>
      </c>
      <c r="H5" s="9" t="inlineStr">
        <is>
          <t>Script Done</t>
        </is>
      </c>
      <c r="I5" s="9" t="inlineStr">
        <is>
          <t>Partial</t>
        </is>
      </c>
      <c r="J5" s="9" t="n"/>
      <c r="K5" s="9" t="inlineStr">
        <is>
          <t>tests/content/TC-CMS-04_service-pages-smoke.robot — PASS (funeral+all-service); crematory/pet/relics → 404 (finding route ไม่ตรง)</t>
        </is>
      </c>
      <c r="L5" s="9" t="inlineStr">
        <is>
          <t>-</t>
        </is>
      </c>
      <c r="M5" s="9" t="n"/>
      <c r="N5" s="9" t="inlineStr">
        <is>
          <t>เปิด service-funeral/-crematory/-pet/-relics, all-service</t>
        </is>
      </c>
      <c r="O5" s="9" t="inlineStr">
        <is>
          <t>200, มี title/meta/og/canonical, breadcrumb, ข้อมูลติดต่อ</t>
        </is>
      </c>
      <c r="P5" s="9" t="inlineStr">
        <is>
          <t>routes</t>
        </is>
      </c>
      <c r="Q5" s="9" t="n"/>
    </row>
    <row r="6">
      <c r="A6" s="9" t="inlineStr">
        <is>
          <t>TC-CMS-05</t>
        </is>
      </c>
      <c r="B6" s="9" t="inlineStr">
        <is>
          <t>Content / SEO</t>
        </is>
      </c>
      <c r="C6" s="9" t="inlineStr">
        <is>
          <t>Info pages</t>
        </is>
      </c>
      <c r="D6" s="9" t="inlineStr">
        <is>
          <t>info pages</t>
        </is>
      </c>
      <c r="E6" s="9" t="inlineStr">
        <is>
          <t>UI</t>
        </is>
      </c>
      <c r="F6" s="9" t="inlineStr">
        <is>
          <t>Smoke</t>
        </is>
      </c>
      <c r="G6" s="9" t="inlineStr">
        <is>
          <t>Low</t>
        </is>
      </c>
      <c r="H6" s="9" t="inlineStr">
        <is>
          <t>Script Done</t>
        </is>
      </c>
      <c r="I6" s="9" t="inlineStr">
        <is>
          <t>Yes</t>
        </is>
      </c>
      <c r="J6" s="9" t="n"/>
      <c r="K6" s="9" t="inlineStr">
        <is>
          <t>tests/content/TC-CMS-05_info-pages-smoke.robot — PASS 8 หน้า (title+canonical)</t>
        </is>
      </c>
      <c r="L6" s="9" t="inlineStr">
        <is>
          <t>-</t>
        </is>
      </c>
      <c r="M6" s="9" t="n"/>
      <c r="N6" s="9" t="inlineStr">
        <is>
          <t>เปิด about-us/how-to-order/faqs/privacy/compensation/flower-shop/review-wreath</t>
        </is>
      </c>
      <c r="O6" s="9" t="inlineStr">
        <is>
          <t>render + responsive</t>
        </is>
      </c>
      <c r="P6" s="9" t="inlineStr">
        <is>
          <t>routes</t>
        </is>
      </c>
      <c r="Q6" s="9" t="n"/>
    </row>
    <row r="7">
      <c r="A7" s="9" t="inlineStr">
        <is>
          <t>TC-CMS-06</t>
        </is>
      </c>
      <c r="B7" s="9" t="inlineStr">
        <is>
          <t>Content / SEO</t>
        </is>
      </c>
      <c r="C7" s="9" t="inlineStr">
        <is>
          <t>Router</t>
        </is>
      </c>
      <c r="D7" s="9" t="inlineStr">
        <is>
          <t>dynamic [...slug] router</t>
        </is>
      </c>
      <c r="E7" s="9" t="inlineStr">
        <is>
          <t>UI</t>
        </is>
      </c>
      <c r="F7" s="9" t="inlineStr">
        <is>
          <t>Functional</t>
        </is>
      </c>
      <c r="G7" s="9" t="inlineStr">
        <is>
          <t>Medium</t>
        </is>
      </c>
      <c r="H7" s="9" t="inlineStr">
        <is>
          <t>Not Started</t>
        </is>
      </c>
      <c r="I7" s="9" t="inlineStr">
        <is>
          <t>Yes</t>
        </is>
      </c>
      <c r="J7" s="9" t="n"/>
      <c r="K7" s="9" t="n"/>
      <c r="L7" s="9" t="inlineStr">
        <is>
          <t>-</t>
        </is>
      </c>
      <c r="M7" s="9" t="n"/>
      <c r="N7" s="9" t="inlineStr">
        <is>
          <t>เปิด slug ตาม switch ต่างๆ</t>
        </is>
      </c>
      <c r="O7" s="9" t="inlineStr">
        <is>
          <t>route ไปหน้าถูก, Thai URL decode</t>
        </is>
      </c>
      <c r="P7" s="9" t="inlineStr">
        <is>
          <t>[...slug]/page.tsx</t>
        </is>
      </c>
      <c r="Q7" s="9" t="n"/>
    </row>
    <row r="8">
      <c r="A8" s="9" t="inlineStr">
        <is>
          <t>TC-CMS-07</t>
        </is>
      </c>
      <c r="B8" s="9" t="inlineStr">
        <is>
          <t>Content / SEO</t>
        </is>
      </c>
      <c r="C8" s="9" t="inlineStr">
        <is>
          <t>Router</t>
        </is>
      </c>
      <c r="D8" s="9" t="inlineStr">
        <is>
          <t>slug มั่ว → 404</t>
        </is>
      </c>
      <c r="E8" s="9" t="inlineStr">
        <is>
          <t>UI</t>
        </is>
      </c>
      <c r="F8" s="9" t="inlineStr">
        <is>
          <t>Negative</t>
        </is>
      </c>
      <c r="G8" s="9" t="inlineStr">
        <is>
          <t>Medium</t>
        </is>
      </c>
      <c r="H8" s="9" t="inlineStr">
        <is>
          <t>Script Done</t>
        </is>
      </c>
      <c r="I8" s="9" t="inlineStr">
        <is>
          <t>Yes</t>
        </is>
      </c>
      <c r="J8" s="9" t="n"/>
      <c r="K8" s="9" t="inlineStr">
        <is>
          <t>tests/content/TC-CMS-07_unknown-slug-404.robot — PASS (เช็ค visible text; NotFound markup ติดมาใน HTML ทุกหน้า)</t>
        </is>
      </c>
      <c r="L8" s="9" t="inlineStr">
        <is>
          <t>-</t>
        </is>
      </c>
      <c r="M8" s="9" t="n"/>
      <c r="N8" s="9" t="inlineStr">
        <is>
          <t>เปิด slug ไม่มีจริง</t>
        </is>
      </c>
      <c r="O8" s="9" t="inlineStr">
        <is>
          <t>NotfoundPage (404)</t>
        </is>
      </c>
      <c r="P8" s="9" t="inlineStr">
        <is>
          <t>[...slug]/page.tsx</t>
        </is>
      </c>
      <c r="Q8" s="9" t="n"/>
    </row>
    <row r="9">
      <c r="A9" s="9" t="inlineStr">
        <is>
          <t>TC-CMS-08</t>
        </is>
      </c>
      <c r="B9" s="9" t="inlineStr">
        <is>
          <t>Content / SEO</t>
        </is>
      </c>
      <c r="C9" s="9" t="inlineStr">
        <is>
          <t>Sitemap</t>
        </is>
      </c>
      <c r="D9" s="9" t="inlineStr">
        <is>
          <t>sitemap</t>
        </is>
      </c>
      <c r="E9" s="9" t="inlineStr">
        <is>
          <t>API</t>
        </is>
      </c>
      <c r="F9" s="9" t="inlineStr">
        <is>
          <t>Smoke</t>
        </is>
      </c>
      <c r="G9" s="9" t="inlineStr">
        <is>
          <t>Low</t>
        </is>
      </c>
      <c r="H9" s="9" t="inlineStr">
        <is>
          <t>Not Started</t>
        </is>
      </c>
      <c r="I9" s="9" t="inlineStr">
        <is>
          <t>Yes</t>
        </is>
      </c>
      <c r="J9" s="9" t="n"/>
      <c r="K9" s="9" t="n"/>
      <c r="L9" s="9" t="inlineStr">
        <is>
          <t>-</t>
        </is>
      </c>
      <c r="M9" s="9" t="n"/>
      <c r="N9" s="9" t="inlineStr">
        <is>
          <t>เปิด /sitemap/*</t>
        </is>
      </c>
      <c r="O9" s="9" t="inlineStr">
        <is>
          <t>XML ถูกต้อง</t>
        </is>
      </c>
      <c r="P9" s="9" t="inlineStr">
        <is>
          <t>pages/sitemap/*</t>
        </is>
      </c>
      <c r="Q9" s="9" t="n"/>
    </row>
  </sheetData>
  <autoFilter ref="A1:Q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2" customWidth="1" min="5" max="5"/>
    <col width="14" customWidth="1" min="6" max="6"/>
    <col width="9" customWidth="1" min="7" max="7"/>
    <col width="13" customWidth="1" min="8" max="8"/>
    <col width="11" customWidth="1" min="9" max="9"/>
    <col width="11" customWidth="1" min="10" max="10"/>
    <col width="22" customWidth="1" min="11" max="11"/>
    <col width="22" customWidth="1" min="12" max="12"/>
    <col width="14" customWidth="1" min="13" max="13"/>
    <col width="42" customWidth="1" min="14" max="14"/>
    <col width="44" customWidth="1" min="15" max="15"/>
    <col width="28" customWidth="1" min="16" max="16"/>
    <col width="18" customWidth="1" min="17" max="17"/>
  </cols>
  <sheetData>
    <row r="1">
      <c r="A1" s="8" t="inlineStr">
        <is>
          <t>Test Case ID</t>
        </is>
      </c>
      <c r="B1" s="8" t="inlineStr">
        <is>
          <t>Group</t>
        </is>
      </c>
      <c r="C1" s="8" t="inlineStr">
        <is>
          <t>Module</t>
        </is>
      </c>
      <c r="D1" s="8" t="inlineStr">
        <is>
          <t>Feature</t>
        </is>
      </c>
      <c r="E1" s="8" t="inlineStr">
        <is>
          <t>Test Level</t>
        </is>
      </c>
      <c r="F1" s="8" t="inlineStr">
        <is>
          <t>Test Type</t>
        </is>
      </c>
      <c r="G1" s="8" t="inlineStr">
        <is>
          <t>Priority</t>
        </is>
      </c>
      <c r="H1" s="8" t="inlineStr">
        <is>
          <t>Script Status</t>
        </is>
      </c>
      <c r="I1" s="8" t="inlineStr">
        <is>
          <t>Automatable</t>
        </is>
      </c>
      <c r="J1" s="8" t="inlineStr">
        <is>
          <t>Assignee</t>
        </is>
      </c>
      <c r="K1" s="8" t="inlineStr">
        <is>
          <t>Script File / Notes</t>
        </is>
      </c>
      <c r="L1" s="8" t="inlineStr">
        <is>
          <t>Preconditions</t>
        </is>
      </c>
      <c r="M1" s="8" t="inlineStr">
        <is>
          <t>Test Data</t>
        </is>
      </c>
      <c r="N1" s="8" t="inlineStr">
        <is>
          <t>Test Steps</t>
        </is>
      </c>
      <c r="O1" s="8" t="inlineStr">
        <is>
          <t>Expected Result</t>
        </is>
      </c>
      <c r="P1" s="8" t="inlineStr">
        <is>
          <t>Code Evidence</t>
        </is>
      </c>
      <c r="Q1" s="8" t="inlineStr">
        <is>
          <t>Remark</t>
        </is>
      </c>
    </row>
    <row r="2">
      <c r="A2" s="9" t="inlineStr">
        <is>
          <t>TC-LINE-01</t>
        </is>
      </c>
      <c r="B2" s="9" t="inlineStr">
        <is>
          <t>LINE / B2B</t>
        </is>
      </c>
      <c r="C2" s="9" t="inlineStr">
        <is>
          <t>LINE</t>
        </is>
      </c>
      <c r="D2" s="9" t="inlineStr">
        <is>
          <t>/line set cookie+QR</t>
        </is>
      </c>
      <c r="E2" s="9" t="inlineStr">
        <is>
          <t>UI</t>
        </is>
      </c>
      <c r="F2" s="9" t="inlineStr">
        <is>
          <t>Functional</t>
        </is>
      </c>
      <c r="G2" s="9" t="inlineStr">
        <is>
          <t>Medium</t>
        </is>
      </c>
      <c r="H2" s="9" t="inlineStr">
        <is>
          <t>Not Started</t>
        </is>
      </c>
      <c r="I2" s="9" t="inlineStr">
        <is>
          <t>Yes</t>
        </is>
      </c>
      <c r="J2" s="9" t="n"/>
      <c r="K2" s="9" t="n"/>
      <c r="L2" s="9" t="inlineStr">
        <is>
          <t>clear cookie</t>
        </is>
      </c>
      <c r="M2" s="9" t="n"/>
      <c r="N2" s="9" t="inlineStr">
        <is>
          <t>เปิด /line ครั้งแรก</t>
        </is>
      </c>
      <c r="O2" s="9" t="inlineStr">
        <is>
          <t>สร้าง UUID, set user_id (30วัน), QR ชี้ /openline/{uuid}</t>
        </is>
      </c>
      <c r="P2" s="9" t="inlineStr">
        <is>
          <t>line/page.tsx</t>
        </is>
      </c>
      <c r="Q2" s="9" t="n"/>
    </row>
    <row r="3">
      <c r="A3" s="9" t="inlineStr">
        <is>
          <t>TC-LINE-02</t>
        </is>
      </c>
      <c r="B3" s="9" t="inlineStr">
        <is>
          <t>LINE / B2B</t>
        </is>
      </c>
      <c r="C3" s="9" t="inlineStr">
        <is>
          <t>LINE</t>
        </is>
      </c>
      <c r="D3" s="9" t="inlineStr">
        <is>
          <t>cookie persist</t>
        </is>
      </c>
      <c r="E3" s="9" t="inlineStr">
        <is>
          <t>UI</t>
        </is>
      </c>
      <c r="F3" s="9" t="inlineStr">
        <is>
          <t>Functional</t>
        </is>
      </c>
      <c r="G3" s="9" t="inlineStr">
        <is>
          <t>Low</t>
        </is>
      </c>
      <c r="H3" s="9" t="inlineStr">
        <is>
          <t>Not Started</t>
        </is>
      </c>
      <c r="I3" s="9" t="inlineStr">
        <is>
          <t>Yes</t>
        </is>
      </c>
      <c r="J3" s="9" t="n"/>
      <c r="K3" s="9" t="n"/>
      <c r="L3" s="9" t="inlineStr">
        <is>
          <t>มี cookie</t>
        </is>
      </c>
      <c r="M3" s="9" t="n"/>
      <c r="N3" s="9" t="inlineStr">
        <is>
          <t>refresh /line</t>
        </is>
      </c>
      <c r="O3" s="9" t="inlineStr">
        <is>
          <t>user_id คงเดิม ไม่สร้างใหม่</t>
        </is>
      </c>
      <c r="P3" s="9" t="inlineStr">
        <is>
          <t>line/page.tsx</t>
        </is>
      </c>
      <c r="Q3" s="9" t="n"/>
    </row>
    <row r="4">
      <c r="A4" s="9" t="inlineStr">
        <is>
          <t>TC-LINE-03</t>
        </is>
      </c>
      <c r="B4" s="9" t="inlineStr">
        <is>
          <t>LINE / B2B</t>
        </is>
      </c>
      <c r="C4" s="9" t="inlineStr">
        <is>
          <t>OpenLine</t>
        </is>
      </c>
      <c r="D4" s="9" t="inlineStr">
        <is>
          <t>openline redirect</t>
        </is>
      </c>
      <c r="E4" s="9" t="inlineStr">
        <is>
          <t>UI</t>
        </is>
      </c>
      <c r="F4" s="9" t="inlineStr">
        <is>
          <t>Functional</t>
        </is>
      </c>
      <c r="G4" s="9" t="inlineStr">
        <is>
          <t>Medium</t>
        </is>
      </c>
      <c r="H4" s="9" t="inlineStr">
        <is>
          <t>Not Started</t>
        </is>
      </c>
      <c r="I4" s="9" t="inlineStr">
        <is>
          <t>Yes</t>
        </is>
      </c>
      <c r="J4" s="9" t="n"/>
      <c r="K4" s="9" t="n"/>
      <c r="L4" s="9" t="inlineStr">
        <is>
          <t>-</t>
        </is>
      </c>
      <c r="M4" s="9" t="n"/>
      <c r="N4" s="9" t="inlineStr">
        <is>
          <t>เปิด /openline/{uuid}</t>
        </is>
      </c>
      <c r="O4" s="9" t="inlineStr">
        <is>
          <t>set cookie + redirect page.line.me/wreathnawat</t>
        </is>
      </c>
      <c r="P4" s="9" t="inlineStr">
        <is>
          <t>openline/[slug]</t>
        </is>
      </c>
      <c r="Q4" s="9" t="n"/>
    </row>
    <row r="5">
      <c r="A5" s="9" t="inlineStr">
        <is>
          <t>TC-LINE-04</t>
        </is>
      </c>
      <c r="B5" s="9" t="inlineStr">
        <is>
          <t>LINE / B2B</t>
        </is>
      </c>
      <c r="C5" s="9" t="inlineStr">
        <is>
          <t>LINE B2B</t>
        </is>
      </c>
      <c r="D5" s="9" t="inlineStr">
        <is>
          <t>b2b แยก cookie/redirect</t>
        </is>
      </c>
      <c r="E5" s="9" t="inlineStr">
        <is>
          <t>UI</t>
        </is>
      </c>
      <c r="F5" s="9" t="inlineStr">
        <is>
          <t>Functional</t>
        </is>
      </c>
      <c r="G5" s="9" t="inlineStr">
        <is>
          <t>Medium</t>
        </is>
      </c>
      <c r="H5" s="9" t="inlineStr">
        <is>
          <t>Not Started</t>
        </is>
      </c>
      <c r="I5" s="9" t="inlineStr">
        <is>
          <t>Yes</t>
        </is>
      </c>
      <c r="J5" s="9" t="n"/>
      <c r="K5" s="9" t="n"/>
      <c r="L5" s="9" t="inlineStr">
        <is>
          <t>-</t>
        </is>
      </c>
      <c r="M5" s="9" t="n"/>
      <c r="N5" s="9" t="inlineStr">
        <is>
          <t>เปิด /lineb2b → /openlineb2b/{uuid}</t>
        </is>
      </c>
      <c r="O5" s="9" t="inlineStr">
        <is>
          <t>cookie user_id_b2b, redirect @237rjmhp</t>
        </is>
      </c>
      <c r="P5" s="9" t="inlineStr">
        <is>
          <t>lineb2b, openlineb2b</t>
        </is>
      </c>
      <c r="Q5" s="9" t="n"/>
    </row>
    <row r="6">
      <c r="A6" s="9" t="inlineStr">
        <is>
          <t>TC-LINE-05</t>
        </is>
      </c>
      <c r="B6" s="9" t="inlineStr">
        <is>
          <t>LINE / B2B</t>
        </is>
      </c>
      <c r="C6" s="9" t="inlineStr">
        <is>
          <t>LINE Event</t>
        </is>
      </c>
      <c r="D6" s="9" t="inlineStr">
        <is>
          <t>event แยก cookie/redirect</t>
        </is>
      </c>
      <c r="E6" s="9" t="inlineStr">
        <is>
          <t>UI</t>
        </is>
      </c>
      <c r="F6" s="9" t="inlineStr">
        <is>
          <t>Functional</t>
        </is>
      </c>
      <c r="G6" s="9" t="inlineStr">
        <is>
          <t>Medium</t>
        </is>
      </c>
      <c r="H6" s="9" t="inlineStr">
        <is>
          <t>Not Started</t>
        </is>
      </c>
      <c r="I6" s="9" t="inlineStr">
        <is>
          <t>Yes</t>
        </is>
      </c>
      <c r="J6" s="9" t="n"/>
      <c r="K6" s="9" t="n"/>
      <c r="L6" s="9" t="inlineStr">
        <is>
          <t>-</t>
        </is>
      </c>
      <c r="M6" s="9" t="n"/>
      <c r="N6" s="9" t="inlineStr">
        <is>
          <t>เปิด /line-event → /openline-event/{uuid}</t>
        </is>
      </c>
      <c r="O6" s="9" t="inlineStr">
        <is>
          <t>cookie user_id_event, redirect @175ctrfd</t>
        </is>
      </c>
      <c r="P6" s="9" t="inlineStr">
        <is>
          <t>line-event, openline-event</t>
        </is>
      </c>
      <c r="Q6" s="9" t="n"/>
    </row>
    <row r="7">
      <c r="A7" s="9" t="inlineStr">
        <is>
          <t>TC-LINE-06</t>
        </is>
      </c>
      <c r="B7" s="9" t="inlineStr">
        <is>
          <t>LINE / B2B</t>
        </is>
      </c>
      <c r="C7" s="9" t="inlineStr">
        <is>
          <t>LINE</t>
        </is>
      </c>
      <c r="D7" s="9" t="inlineStr">
        <is>
          <t>3 cookie ไม่ชนกัน</t>
        </is>
      </c>
      <c r="E7" s="9" t="inlineStr">
        <is>
          <t>UI</t>
        </is>
      </c>
      <c r="F7" s="9" t="inlineStr">
        <is>
          <t>Functional</t>
        </is>
      </c>
      <c r="G7" s="9" t="inlineStr">
        <is>
          <t>Low</t>
        </is>
      </c>
      <c r="H7" s="9" t="inlineStr">
        <is>
          <t>Not Started</t>
        </is>
      </c>
      <c r="I7" s="9" t="inlineStr">
        <is>
          <t>Yes</t>
        </is>
      </c>
      <c r="J7" s="9" t="n"/>
      <c r="K7" s="9" t="n"/>
      <c r="L7" s="9" t="inlineStr">
        <is>
          <t>-</t>
        </is>
      </c>
      <c r="M7" s="9" t="n"/>
      <c r="N7" s="9" t="inlineStr">
        <is>
          <t>เปิดทั้ง 3 flow</t>
        </is>
      </c>
      <c r="O7" s="9" t="inlineStr">
        <is>
          <t>user_id/user_id_b2b/user_id_event แยกอิสระ</t>
        </is>
      </c>
      <c r="P7" s="9" t="inlineStr">
        <is>
          <t>ทั้ง 3 หน้า</t>
        </is>
      </c>
      <c r="Q7" s="9" t="n"/>
    </row>
  </sheetData>
  <autoFilter ref="A1:Q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2" customWidth="1" min="5" max="5"/>
    <col width="14" customWidth="1" min="6" max="6"/>
    <col width="9" customWidth="1" min="7" max="7"/>
    <col width="13" customWidth="1" min="8" max="8"/>
    <col width="11" customWidth="1" min="9" max="9"/>
    <col width="11" customWidth="1" min="10" max="10"/>
    <col width="22" customWidth="1" min="11" max="11"/>
    <col width="22" customWidth="1" min="12" max="12"/>
    <col width="14" customWidth="1" min="13" max="13"/>
    <col width="42" customWidth="1" min="14" max="14"/>
    <col width="44" customWidth="1" min="15" max="15"/>
    <col width="28" customWidth="1" min="16" max="16"/>
    <col width="18" customWidth="1" min="17" max="17"/>
  </cols>
  <sheetData>
    <row r="1">
      <c r="A1" s="8" t="inlineStr">
        <is>
          <t>Test Case ID</t>
        </is>
      </c>
      <c r="B1" s="8" t="inlineStr">
        <is>
          <t>Group</t>
        </is>
      </c>
      <c r="C1" s="8" t="inlineStr">
        <is>
          <t>Module</t>
        </is>
      </c>
      <c r="D1" s="8" t="inlineStr">
        <is>
          <t>Feature</t>
        </is>
      </c>
      <c r="E1" s="8" t="inlineStr">
        <is>
          <t>Test Level</t>
        </is>
      </c>
      <c r="F1" s="8" t="inlineStr">
        <is>
          <t>Test Type</t>
        </is>
      </c>
      <c r="G1" s="8" t="inlineStr">
        <is>
          <t>Priority</t>
        </is>
      </c>
      <c r="H1" s="8" t="inlineStr">
        <is>
          <t>Script Status</t>
        </is>
      </c>
      <c r="I1" s="8" t="inlineStr">
        <is>
          <t>Automatable</t>
        </is>
      </c>
      <c r="J1" s="8" t="inlineStr">
        <is>
          <t>Assignee</t>
        </is>
      </c>
      <c r="K1" s="8" t="inlineStr">
        <is>
          <t>Script File / Notes</t>
        </is>
      </c>
      <c r="L1" s="8" t="inlineStr">
        <is>
          <t>Preconditions</t>
        </is>
      </c>
      <c r="M1" s="8" t="inlineStr">
        <is>
          <t>Test Data</t>
        </is>
      </c>
      <c r="N1" s="8" t="inlineStr">
        <is>
          <t>Test Steps</t>
        </is>
      </c>
      <c r="O1" s="8" t="inlineStr">
        <is>
          <t>Expected Result</t>
        </is>
      </c>
      <c r="P1" s="8" t="inlineStr">
        <is>
          <t>Code Evidence</t>
        </is>
      </c>
      <c r="Q1" s="8" t="inlineStr">
        <is>
          <t>Remark</t>
        </is>
      </c>
    </row>
    <row r="2">
      <c r="A2" s="9" t="inlineStr">
        <is>
          <t>TC-TRK2-01</t>
        </is>
      </c>
      <c r="B2" s="9" t="inlineStr">
        <is>
          <t>Tracking</t>
        </is>
      </c>
      <c r="C2" s="9" t="inlineStr">
        <is>
          <t>Tracking</t>
        </is>
      </c>
      <c r="D2" s="9" t="inlineStr">
        <is>
          <t>ค้นด้วย order_code+เบอร์/อีเมล</t>
        </is>
      </c>
      <c r="E2" s="9" t="inlineStr">
        <is>
          <t>UI</t>
        </is>
      </c>
      <c r="F2" s="9" t="inlineStr">
        <is>
          <t>Positive</t>
        </is>
      </c>
      <c r="G2" s="9" t="inlineStr">
        <is>
          <t>Medium</t>
        </is>
      </c>
      <c r="H2" s="9" t="inlineStr">
        <is>
          <t>Not Started</t>
        </is>
      </c>
      <c r="I2" s="9" t="inlineStr">
        <is>
          <t>Yes</t>
        </is>
      </c>
      <c r="J2" s="9" t="n"/>
      <c r="K2" s="9" t="n"/>
      <c r="L2" s="9" t="inlineStr">
        <is>
          <t>TD-22</t>
        </is>
      </c>
      <c r="M2" s="9" t="inlineStr">
        <is>
          <t>TD-22</t>
        </is>
      </c>
      <c r="N2" s="9" t="inlineStr">
        <is>
          <t>กรอก order_code + phone_or_email → ค้นหา</t>
        </is>
      </c>
      <c r="O2" s="9" t="inlineStr">
        <is>
          <t>แสดงสถานะ (path ที่ 2)</t>
        </is>
      </c>
      <c r="P2" s="9" t="inlineStr">
        <is>
          <t>tracking/page.tsx:36-44</t>
        </is>
      </c>
      <c r="Q2" s="9" t="n"/>
    </row>
    <row r="3">
      <c r="A3" s="9" t="inlineStr">
        <is>
          <t>TC-TRK2-02</t>
        </is>
      </c>
      <c r="B3" s="9" t="inlineStr">
        <is>
          <t>Tracking</t>
        </is>
      </c>
      <c r="C3" s="9" t="inlineStr">
        <is>
          <t>Tracking</t>
        </is>
      </c>
      <c r="D3" s="9" t="inlineStr">
        <is>
          <t>status 0/1 → notpayment</t>
        </is>
      </c>
      <c r="E3" s="9" t="inlineStr">
        <is>
          <t>UI</t>
        </is>
      </c>
      <c r="F3" s="9" t="inlineStr">
        <is>
          <t>Functional</t>
        </is>
      </c>
      <c r="G3" s="9" t="inlineStr">
        <is>
          <t>Medium</t>
        </is>
      </c>
      <c r="H3" s="9" t="inlineStr">
        <is>
          <t>Not Started</t>
        </is>
      </c>
      <c r="I3" s="9" t="inlineStr">
        <is>
          <t>Yes</t>
        </is>
      </c>
      <c r="J3" s="9" t="n"/>
      <c r="K3" s="9" t="n"/>
      <c r="L3" s="9" t="inlineStr">
        <is>
          <t>TD-20</t>
        </is>
      </c>
      <c r="M3" s="9" t="inlineStr">
        <is>
          <t>TD-20</t>
        </is>
      </c>
      <c r="N3" s="9" t="inlineStr">
        <is>
          <t>track order ยังไม่จ่าย</t>
        </is>
      </c>
      <c r="O3" s="9" t="inlineStr">
        <is>
          <t>แสดง ResultNotpayment</t>
        </is>
      </c>
      <c r="P3" s="9" t="inlineStr">
        <is>
          <t>tracking/page.tsx:140-160</t>
        </is>
      </c>
      <c r="Q3" s="9" t="n"/>
    </row>
    <row r="4">
      <c r="A4" s="9" t="inlineStr">
        <is>
          <t>TC-TRK2-03</t>
        </is>
      </c>
      <c r="B4" s="9" t="inlineStr">
        <is>
          <t>Tracking</t>
        </is>
      </c>
      <c r="C4" s="9" t="inlineStr">
        <is>
          <t>Tracking</t>
        </is>
      </c>
      <c r="D4" s="9" t="inlineStr">
        <is>
          <t>status 2/3/4 → result</t>
        </is>
      </c>
      <c r="E4" s="9" t="inlineStr">
        <is>
          <t>UI</t>
        </is>
      </c>
      <c r="F4" s="9" t="inlineStr">
        <is>
          <t>Functional</t>
        </is>
      </c>
      <c r="G4" s="9" t="inlineStr">
        <is>
          <t>Medium</t>
        </is>
      </c>
      <c r="H4" s="9" t="inlineStr">
        <is>
          <t>Not Started</t>
        </is>
      </c>
      <c r="I4" s="9" t="inlineStr">
        <is>
          <t>Yes</t>
        </is>
      </c>
      <c r="J4" s="9" t="n"/>
      <c r="K4" s="9" t="n"/>
      <c r="L4" s="9" t="inlineStr">
        <is>
          <t>TD-21</t>
        </is>
      </c>
      <c r="M4" s="9" t="inlineStr">
        <is>
          <t>TD-21</t>
        </is>
      </c>
      <c r="N4" s="9" t="inlineStr">
        <is>
          <t>track order จ่ายแล้ว</t>
        </is>
      </c>
      <c r="O4" s="9" t="inlineStr">
        <is>
          <t>แสดง Result</t>
        </is>
      </c>
      <c r="P4" s="9" t="inlineStr">
        <is>
          <t>tracking/page.tsx:140-160</t>
        </is>
      </c>
      <c r="Q4" s="9" t="n"/>
    </row>
    <row r="5">
      <c r="A5" s="9" t="inlineStr">
        <is>
          <t>TC-TRK2-04</t>
        </is>
      </c>
      <c r="B5" s="9" t="inlineStr">
        <is>
          <t>Tracking</t>
        </is>
      </c>
      <c r="C5" s="9" t="inlineStr">
        <is>
          <t>Tracking</t>
        </is>
      </c>
      <c r="D5" s="9" t="inlineStr">
        <is>
          <t>notFound ไม่ leak</t>
        </is>
      </c>
      <c r="E5" s="9" t="inlineStr">
        <is>
          <t>UI</t>
        </is>
      </c>
      <c r="F5" s="9" t="inlineStr">
        <is>
          <t>Negative</t>
        </is>
      </c>
      <c r="G5" s="9" t="inlineStr">
        <is>
          <t>Medium</t>
        </is>
      </c>
      <c r="H5" s="9" t="inlineStr">
        <is>
          <t>Not Started</t>
        </is>
      </c>
      <c r="I5" s="9" t="inlineStr">
        <is>
          <t>Yes</t>
        </is>
      </c>
      <c r="J5" s="9" t="n"/>
      <c r="K5" s="9" t="n"/>
      <c r="L5" s="9" t="inlineStr">
        <is>
          <t>-</t>
        </is>
      </c>
      <c r="M5" s="9" t="n"/>
      <c r="N5" s="9" t="inlineStr">
        <is>
          <t>กรอกข้อมูลผิด</t>
        </is>
      </c>
      <c r="O5" s="9" t="inlineStr">
        <is>
          <t>branch notFound, ไม่โชว์ข้อมูลคนอื่น</t>
        </is>
      </c>
      <c r="P5" s="9" t="inlineStr">
        <is>
          <t>tracking/page.tsx:55-58</t>
        </is>
      </c>
      <c r="Q5" s="9" t="n"/>
    </row>
    <row r="6">
      <c r="A6" s="9" t="inlineStr">
        <is>
          <t>TC-TRK2-05</t>
        </is>
      </c>
      <c r="B6" s="9" t="inlineStr">
        <is>
          <t>Tracking</t>
        </is>
      </c>
      <c r="C6" s="9" t="inlineStr">
        <is>
          <t>Tracking</t>
        </is>
      </c>
      <c r="D6" s="9" t="inlineStr">
        <is>
          <t>tax invoice module</t>
        </is>
      </c>
      <c r="E6" s="9" t="inlineStr">
        <is>
          <t>UI</t>
        </is>
      </c>
      <c r="F6" s="9" t="inlineStr">
        <is>
          <t>Functional</t>
        </is>
      </c>
      <c r="G6" s="9" t="inlineStr">
        <is>
          <t>Low</t>
        </is>
      </c>
      <c r="H6" s="9" t="inlineStr">
        <is>
          <t>Not Started</t>
        </is>
      </c>
      <c r="I6" s="9" t="inlineStr">
        <is>
          <t>Partial</t>
        </is>
      </c>
      <c r="J6" s="9" t="n"/>
      <c r="K6" s="9" t="n"/>
      <c r="L6" s="9" t="inlineStr">
        <is>
          <t>flag=y</t>
        </is>
      </c>
      <c r="M6" s="9" t="inlineStr">
        <is>
          <t>TD-21</t>
        </is>
      </c>
      <c r="N6" s="9" t="inlineStr">
        <is>
          <t>track order ที่จ่ายแล้ว</t>
        </is>
      </c>
      <c r="O6" s="9" t="inlineStr">
        <is>
          <t>fetch hash + แสดงฟอร์มใบกำกับ</t>
        </is>
      </c>
      <c r="P6" s="9" t="inlineStr">
        <is>
          <t>NEXT_PUBLIC_ENABLED_TAX_INVOICE_MODULE</t>
        </is>
      </c>
      <c r="Q6" s="9" t="n"/>
    </row>
    <row r="7">
      <c r="A7" s="9" t="inlineStr">
        <is>
          <t>TC-TRK2-06</t>
        </is>
      </c>
      <c r="B7" s="9" t="inlineStr">
        <is>
          <t>Tracking</t>
        </is>
      </c>
      <c r="C7" s="9" t="inlineStr">
        <is>
          <t>Quotation</t>
        </is>
      </c>
      <c r="D7" s="9" t="inlineStr">
        <is>
          <t>quotation flow</t>
        </is>
      </c>
      <c r="E7" s="9" t="inlineStr">
        <is>
          <t>UI</t>
        </is>
      </c>
      <c r="F7" s="9" t="inlineStr">
        <is>
          <t>Functional</t>
        </is>
      </c>
      <c r="G7" s="9" t="inlineStr">
        <is>
          <t>Low</t>
        </is>
      </c>
      <c r="H7" s="9" t="inlineStr">
        <is>
          <t>Not Started</t>
        </is>
      </c>
      <c r="I7" s="9" t="inlineStr">
        <is>
          <t>Yes</t>
        </is>
      </c>
      <c r="J7" s="9" t="n"/>
      <c r="K7" s="9" t="n"/>
      <c r="L7" s="9" t="inlineStr">
        <is>
          <t>-</t>
        </is>
      </c>
      <c r="M7" s="9" t="n"/>
      <c r="N7" s="9" t="inlineStr">
        <is>
          <t>เปิด /tracking/quotation</t>
        </is>
      </c>
      <c r="O7" s="9" t="inlineStr">
        <is>
          <t>render flow ใบเสนอราคา</t>
        </is>
      </c>
      <c r="P7" s="9" t="inlineStr">
        <is>
          <t>tracking/quotation</t>
        </is>
      </c>
      <c r="Q7" s="9" t="n"/>
    </row>
  </sheetData>
  <autoFilter ref="A1:Q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64478"/>
    <outlinePr summaryBelow="1" summaryRight="1"/>
    <pageSetUpPr/>
  </sheetPr>
  <dimension ref="A1:Q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2" customWidth="1" min="5" max="5"/>
    <col width="14" customWidth="1" min="6" max="6"/>
    <col width="9" customWidth="1" min="7" max="7"/>
    <col width="13" customWidth="1" min="8" max="8"/>
    <col width="11" customWidth="1" min="9" max="9"/>
    <col width="11" customWidth="1" min="10" max="10"/>
    <col width="22" customWidth="1" min="11" max="11"/>
    <col width="22" customWidth="1" min="12" max="12"/>
    <col width="14" customWidth="1" min="13" max="13"/>
    <col width="42" customWidth="1" min="14" max="14"/>
    <col width="44" customWidth="1" min="15" max="15"/>
    <col width="28" customWidth="1" min="16" max="16"/>
    <col width="18" customWidth="1" min="17" max="17"/>
  </cols>
  <sheetData>
    <row r="1">
      <c r="A1" s="8" t="inlineStr">
        <is>
          <t>Test Case ID</t>
        </is>
      </c>
      <c r="B1" s="8" t="inlineStr">
        <is>
          <t>Group</t>
        </is>
      </c>
      <c r="C1" s="8" t="inlineStr">
        <is>
          <t>Module</t>
        </is>
      </c>
      <c r="D1" s="8" t="inlineStr">
        <is>
          <t>Feature</t>
        </is>
      </c>
      <c r="E1" s="8" t="inlineStr">
        <is>
          <t>Test Level</t>
        </is>
      </c>
      <c r="F1" s="8" t="inlineStr">
        <is>
          <t>Test Type</t>
        </is>
      </c>
      <c r="G1" s="8" t="inlineStr">
        <is>
          <t>Priority</t>
        </is>
      </c>
      <c r="H1" s="8" t="inlineStr">
        <is>
          <t>Script Status</t>
        </is>
      </c>
      <c r="I1" s="8" t="inlineStr">
        <is>
          <t>Automatable</t>
        </is>
      </c>
      <c r="J1" s="8" t="inlineStr">
        <is>
          <t>Assignee</t>
        </is>
      </c>
      <c r="K1" s="8" t="inlineStr">
        <is>
          <t>Script File / Notes</t>
        </is>
      </c>
      <c r="L1" s="8" t="inlineStr">
        <is>
          <t>Preconditions</t>
        </is>
      </c>
      <c r="M1" s="8" t="inlineStr">
        <is>
          <t>Test Data</t>
        </is>
      </c>
      <c r="N1" s="8" t="inlineStr">
        <is>
          <t>Test Steps</t>
        </is>
      </c>
      <c r="O1" s="8" t="inlineStr">
        <is>
          <t>Expected Result</t>
        </is>
      </c>
      <c r="P1" s="8" t="inlineStr">
        <is>
          <t>Code Evidence</t>
        </is>
      </c>
      <c r="Q1" s="8" t="inlineStr">
        <is>
          <t>Remark</t>
        </is>
      </c>
    </row>
    <row r="2">
      <c r="A2" s="9" t="inlineStr">
        <is>
          <t>TC-CT-01</t>
        </is>
      </c>
      <c r="B2" s="9" t="inlineStr">
        <is>
          <t>Contact / Corporate</t>
        </is>
      </c>
      <c r="C2" s="9" t="inlineStr">
        <is>
          <t>Contact</t>
        </is>
      </c>
      <c r="D2" s="9" t="inlineStr">
        <is>
          <t>contact reveal toggle</t>
        </is>
      </c>
      <c r="E2" s="9" t="inlineStr">
        <is>
          <t>UI</t>
        </is>
      </c>
      <c r="F2" s="9" t="inlineStr">
        <is>
          <t>Functional</t>
        </is>
      </c>
      <c r="G2" s="9" t="inlineStr">
        <is>
          <t>Low</t>
        </is>
      </c>
      <c r="H2" s="9" t="inlineStr">
        <is>
          <t>Not Started</t>
        </is>
      </c>
      <c r="I2" s="9" t="inlineStr">
        <is>
          <t>Yes</t>
        </is>
      </c>
      <c r="J2" s="9" t="n"/>
      <c r="K2" s="9" t="n"/>
      <c r="L2" s="9" t="inlineStr">
        <is>
          <t>-</t>
        </is>
      </c>
      <c r="M2" s="9" t="n"/>
      <c r="N2" s="9" t="inlineStr">
        <is>
          <t>เปิด /ติดต่อเรา, คลิก LINE/โทร/อีเมล</t>
        </is>
      </c>
      <c r="O2" s="9" t="inlineStr">
        <is>
          <t>เผยลิงก์ถูก (line/tel:/mailto:)</t>
        </is>
      </c>
      <c r="P2" s="9" t="inlineStr">
        <is>
          <t>contactus/page.tsx</t>
        </is>
      </c>
      <c r="Q2" s="9" t="n"/>
    </row>
    <row r="3">
      <c r="A3" s="9" t="inlineStr">
        <is>
          <t>TC-CT-02</t>
        </is>
      </c>
      <c r="B3" s="9" t="inlineStr">
        <is>
          <t>Contact / Corporate</t>
        </is>
      </c>
      <c r="C3" s="9" t="inlineStr">
        <is>
          <t>Corporate</t>
        </is>
      </c>
      <c r="D3" s="9" t="inlineStr">
        <is>
          <t>corporate FAQ accordion</t>
        </is>
      </c>
      <c r="E3" s="9" t="inlineStr">
        <is>
          <t>UI</t>
        </is>
      </c>
      <c r="F3" s="9" t="inlineStr">
        <is>
          <t>Functional</t>
        </is>
      </c>
      <c r="G3" s="9" t="inlineStr">
        <is>
          <t>Low</t>
        </is>
      </c>
      <c r="H3" s="9" t="inlineStr">
        <is>
          <t>Not Started</t>
        </is>
      </c>
      <c r="I3" s="9" t="inlineStr">
        <is>
          <t>Yes</t>
        </is>
      </c>
      <c r="J3" s="9" t="n"/>
      <c r="K3" s="9" t="n"/>
      <c r="L3" s="9" t="inlineStr">
        <is>
          <t>-</t>
        </is>
      </c>
      <c r="M3" s="9" t="n"/>
      <c r="N3" s="9" t="inlineStr">
        <is>
          <t>เปิด /ลูกค้าองค์กร, toggle FAQ 4 ข้อ</t>
        </is>
      </c>
      <c r="O3" s="9" t="inlineStr">
        <is>
          <t>เปิด/ปิดถูกต้อง</t>
        </is>
      </c>
      <c r="P3" s="9" t="inlineStr">
        <is>
          <t>corporate-customer/page.tsx</t>
        </is>
      </c>
      <c r="Q3" s="9" t="n"/>
    </row>
    <row r="4">
      <c r="A4" s="9" t="inlineStr">
        <is>
          <t>TC-CT-03</t>
        </is>
      </c>
      <c r="B4" s="9" t="inlineStr">
        <is>
          <t>Contact / Corporate</t>
        </is>
      </c>
      <c r="C4" s="9" t="inlineStr">
        <is>
          <t>Corporate</t>
        </is>
      </c>
      <c r="D4" s="9" t="inlineStr">
        <is>
          <t>corporate contact + gallery</t>
        </is>
      </c>
      <c r="E4" s="9" t="inlineStr">
        <is>
          <t>UI</t>
        </is>
      </c>
      <c r="F4" s="9" t="inlineStr">
        <is>
          <t>Functional</t>
        </is>
      </c>
      <c r="G4" s="9" t="inlineStr">
        <is>
          <t>Low</t>
        </is>
      </c>
      <c r="H4" s="9" t="inlineStr">
        <is>
          <t>Not Started</t>
        </is>
      </c>
      <c r="I4" s="9" t="inlineStr">
        <is>
          <t>Yes</t>
        </is>
      </c>
      <c r="J4" s="9" t="n"/>
      <c r="K4" s="9" t="n"/>
      <c r="L4" s="9" t="inlineStr">
        <is>
          <t>-</t>
        </is>
      </c>
      <c r="M4" s="9" t="n"/>
      <c r="N4" s="9" t="inlineStr">
        <is>
          <t>คลิก 6 ปุ่ม contact, ดู gallery</t>
        </is>
      </c>
      <c r="O4" s="9" t="inlineStr">
        <is>
          <t>ไป /lineb2b/tel/mailto, รูป 20 โหลด</t>
        </is>
      </c>
      <c r="P4" s="9" t="inlineStr">
        <is>
          <t>corporate-customer/page.tsx</t>
        </is>
      </c>
      <c r="Q4" s="9" t="n"/>
    </row>
  </sheetData>
  <autoFilter ref="A1:Q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E480E"/>
    <outlinePr summaryBelow="1" summaryRight="1"/>
    <pageSetUpPr/>
  </sheetPr>
  <dimension ref="A1:Q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2" customWidth="1" min="5" max="5"/>
    <col width="14" customWidth="1" min="6" max="6"/>
    <col width="9" customWidth="1" min="7" max="7"/>
    <col width="13" customWidth="1" min="8" max="8"/>
    <col width="11" customWidth="1" min="9" max="9"/>
    <col width="11" customWidth="1" min="10" max="10"/>
    <col width="22" customWidth="1" min="11" max="11"/>
    <col width="22" customWidth="1" min="12" max="12"/>
    <col width="14" customWidth="1" min="13" max="13"/>
    <col width="42" customWidth="1" min="14" max="14"/>
    <col width="44" customWidth="1" min="15" max="15"/>
    <col width="28" customWidth="1" min="16" max="16"/>
    <col width="18" customWidth="1" min="17" max="17"/>
  </cols>
  <sheetData>
    <row r="1">
      <c r="A1" s="8" t="inlineStr">
        <is>
          <t>Test Case ID</t>
        </is>
      </c>
      <c r="B1" s="8" t="inlineStr">
        <is>
          <t>Group</t>
        </is>
      </c>
      <c r="C1" s="8" t="inlineStr">
        <is>
          <t>Module</t>
        </is>
      </c>
      <c r="D1" s="8" t="inlineStr">
        <is>
          <t>Feature</t>
        </is>
      </c>
      <c r="E1" s="8" t="inlineStr">
        <is>
          <t>Test Level</t>
        </is>
      </c>
      <c r="F1" s="8" t="inlineStr">
        <is>
          <t>Test Type</t>
        </is>
      </c>
      <c r="G1" s="8" t="inlineStr">
        <is>
          <t>Priority</t>
        </is>
      </c>
      <c r="H1" s="8" t="inlineStr">
        <is>
          <t>Script Status</t>
        </is>
      </c>
      <c r="I1" s="8" t="inlineStr">
        <is>
          <t>Automatable</t>
        </is>
      </c>
      <c r="J1" s="8" t="inlineStr">
        <is>
          <t>Assignee</t>
        </is>
      </c>
      <c r="K1" s="8" t="inlineStr">
        <is>
          <t>Script File / Notes</t>
        </is>
      </c>
      <c r="L1" s="8" t="inlineStr">
        <is>
          <t>Preconditions</t>
        </is>
      </c>
      <c r="M1" s="8" t="inlineStr">
        <is>
          <t>Test Data</t>
        </is>
      </c>
      <c r="N1" s="8" t="inlineStr">
        <is>
          <t>Test Steps</t>
        </is>
      </c>
      <c r="O1" s="8" t="inlineStr">
        <is>
          <t>Expected Result</t>
        </is>
      </c>
      <c r="P1" s="8" t="inlineStr">
        <is>
          <t>Code Evidence</t>
        </is>
      </c>
      <c r="Q1" s="8" t="inlineStr">
        <is>
          <t>Remark</t>
        </is>
      </c>
    </row>
    <row r="2">
      <c r="A2" s="9" t="inlineStr">
        <is>
          <t>TC-GBL-01</t>
        </is>
      </c>
      <c r="B2" s="9" t="inlineStr">
        <is>
          <t>Global Components</t>
        </is>
      </c>
      <c r="C2" s="9" t="inlineStr">
        <is>
          <t>Header</t>
        </is>
      </c>
      <c r="D2" s="9" t="inlineStr">
        <is>
          <t>announcement bar</t>
        </is>
      </c>
      <c r="E2" s="9" t="inlineStr">
        <is>
          <t>UI</t>
        </is>
      </c>
      <c r="F2" s="9" t="inlineStr">
        <is>
          <t>Functional</t>
        </is>
      </c>
      <c r="G2" s="9" t="inlineStr">
        <is>
          <t>Low</t>
        </is>
      </c>
      <c r="H2" s="9" t="inlineStr">
        <is>
          <t>Skipped</t>
        </is>
      </c>
      <c r="I2" s="9" t="inlineStr">
        <is>
          <t>Partial</t>
        </is>
      </c>
      <c r="J2" s="9" t="n"/>
      <c r="K2" s="9" t="inlineStr">
        <is>
          <t>announcement bar = strip "ส่งฟรีทั่ว กทม." แสดงได้ แต่ปุ่มปิดผูกกับ cookie × คลุมเครือ — เลื่อนไว้</t>
        </is>
      </c>
      <c r="L2" s="9" t="inlineStr">
        <is>
          <t>มี announcement active</t>
        </is>
      </c>
      <c r="M2" s="9" t="n"/>
      <c r="N2" s="9" t="inlineStr">
        <is>
          <t>โหลดทุกหน้า</t>
        </is>
      </c>
      <c r="O2" s="9" t="inlineStr">
        <is>
          <t>bar แสดงข้อความ + ปิดได้</t>
        </is>
      </c>
      <c r="P2" s="9" t="inlineStr">
        <is>
          <t>AnnouncementBar.tsx</t>
        </is>
      </c>
      <c r="Q2" s="9" t="n"/>
    </row>
    <row r="3">
      <c r="A3" s="9" t="inlineStr">
        <is>
          <t>TC-GBL-02</t>
        </is>
      </c>
      <c r="B3" s="9" t="inlineStr">
        <is>
          <t>Global Components</t>
        </is>
      </c>
      <c r="C3" s="9" t="inlineStr">
        <is>
          <t>Header</t>
        </is>
      </c>
      <c r="D3" s="9" t="inlineStr">
        <is>
          <t>mini-cart badge+dropdown</t>
        </is>
      </c>
      <c r="E3" s="9" t="inlineStr">
        <is>
          <t>UI</t>
        </is>
      </c>
      <c r="F3" s="9" t="inlineStr">
        <is>
          <t>Functional</t>
        </is>
      </c>
      <c r="G3" s="9" t="inlineStr">
        <is>
          <t>Medium</t>
        </is>
      </c>
      <c r="H3" s="9" t="inlineStr">
        <is>
          <t>Script Done</t>
        </is>
      </c>
      <c r="I3" s="9" t="inlineStr">
        <is>
          <t>Partial</t>
        </is>
      </c>
      <c r="J3" s="9" t="n"/>
      <c r="K3" s="9" t="inlineStr">
        <is>
          <t>tests/global/TC-GBL-02_minicart-badge.robot — PASS (badge=1; dropdown ไม่ assert)</t>
        </is>
      </c>
      <c r="L3" s="9" t="inlineStr">
        <is>
          <t>มีของในตะกร้า</t>
        </is>
      </c>
      <c r="M3" s="9" t="inlineStr">
        <is>
          <t>TD-03</t>
        </is>
      </c>
      <c r="N3" s="9" t="inlineStr">
        <is>
          <t>คลิกไอคอนตะกร้า</t>
        </is>
      </c>
      <c r="O3" s="9" t="inlineStr">
        <is>
          <t>badge จำนวนถูก, dropdown รายการ</t>
        </is>
      </c>
      <c r="P3" s="9" t="inlineStr">
        <is>
          <t>ShoppingCart.tsx</t>
        </is>
      </c>
      <c r="Q3" s="9" t="n"/>
    </row>
    <row r="4">
      <c r="A4" s="9" t="inlineStr">
        <is>
          <t>TC-GBL-03</t>
        </is>
      </c>
      <c r="B4" s="9" t="inlineStr">
        <is>
          <t>Global Components</t>
        </is>
      </c>
      <c r="C4" s="9" t="inlineStr">
        <is>
          <t>Footer</t>
        </is>
      </c>
      <c r="D4" s="9" t="inlineStr">
        <is>
          <t>floating contact / sticky bar</t>
        </is>
      </c>
      <c r="E4" s="9" t="inlineStr">
        <is>
          <t>UI</t>
        </is>
      </c>
      <c r="F4" s="9" t="inlineStr">
        <is>
          <t>Functional</t>
        </is>
      </c>
      <c r="G4" s="9" t="inlineStr">
        <is>
          <t>Low</t>
        </is>
      </c>
      <c r="H4" s="9" t="inlineStr">
        <is>
          <t>Skipped</t>
        </is>
      </c>
      <c r="I4" s="9" t="inlineStr">
        <is>
          <t>Partial</t>
        </is>
      </c>
      <c r="J4" s="9" t="n"/>
      <c r="K4" s="9" t="inlineStr">
        <is>
          <t>floating contact/sticky (mobile) — hook อ่อน ต้อง probe viewport เพิ่ม</t>
        </is>
      </c>
      <c r="L4" s="9" t="inlineStr">
        <is>
          <t>mobile</t>
        </is>
      </c>
      <c r="M4" s="9" t="n"/>
      <c r="N4" s="9" t="inlineStr">
        <is>
          <t>เลื่อนหน้า</t>
        </is>
      </c>
      <c r="O4" s="9" t="inlineStr">
        <is>
          <t>FloatingContactButton + StickyBars แสดง/คลิกได้</t>
        </is>
      </c>
      <c r="P4" s="9" t="inlineStr">
        <is>
          <t>Footer/*</t>
        </is>
      </c>
      <c r="Q4" s="9" t="n"/>
    </row>
    <row r="5">
      <c r="A5" s="9" t="inlineStr">
        <is>
          <t>TC-GBL-04</t>
        </is>
      </c>
      <c r="B5" s="9" t="inlineStr">
        <is>
          <t>Global Components</t>
        </is>
      </c>
      <c r="C5" s="9" t="inlineStr">
        <is>
          <t>Footer</t>
        </is>
      </c>
      <c r="D5" s="9" t="inlineStr">
        <is>
          <t>back to top</t>
        </is>
      </c>
      <c r="E5" s="9" t="inlineStr">
        <is>
          <t>UI</t>
        </is>
      </c>
      <c r="F5" s="9" t="inlineStr">
        <is>
          <t>Functional</t>
        </is>
      </c>
      <c r="G5" s="9" t="inlineStr">
        <is>
          <t>Low</t>
        </is>
      </c>
      <c r="H5" s="9" t="inlineStr">
        <is>
          <t>Script Done</t>
        </is>
      </c>
      <c r="I5" s="9" t="inlineStr">
        <is>
          <t>Yes</t>
        </is>
      </c>
      <c r="J5" s="9" t="n"/>
      <c r="K5" s="9" t="inlineStr">
        <is>
          <t>tests/global/TC-GBL-04_back-to-top.robot — PASS (ปุ่ม fixed bottom-20)</t>
        </is>
      </c>
      <c r="L5" s="9" t="inlineStr">
        <is>
          <t>หน้ายาว</t>
        </is>
      </c>
      <c r="M5" s="9" t="n"/>
      <c r="N5" s="9" t="inlineStr">
        <is>
          <t>เลื่อนลง → คลิก</t>
        </is>
      </c>
      <c r="O5" s="9" t="inlineStr">
        <is>
          <t>scroll กลับบนสุด</t>
        </is>
      </c>
      <c r="P5" s="9" t="inlineStr">
        <is>
          <t>BackToTop.tsx</t>
        </is>
      </c>
      <c r="Q5" s="9" t="n"/>
    </row>
    <row r="6">
      <c r="A6" s="9" t="inlineStr">
        <is>
          <t>TC-GBL-05</t>
        </is>
      </c>
      <c r="B6" s="9" t="inlineStr">
        <is>
          <t>Global Components</t>
        </is>
      </c>
      <c r="C6" s="9" t="inlineStr">
        <is>
          <t>Header</t>
        </is>
      </c>
      <c r="D6" s="9" t="inlineStr">
        <is>
          <t>responsive nav (hamburger)</t>
        </is>
      </c>
      <c r="E6" s="9" t="inlineStr">
        <is>
          <t>UI</t>
        </is>
      </c>
      <c r="F6" s="9" t="inlineStr">
        <is>
          <t>Functional</t>
        </is>
      </c>
      <c r="G6" s="9" t="inlineStr">
        <is>
          <t>Medium</t>
        </is>
      </c>
      <c r="H6" s="9" t="inlineStr">
        <is>
          <t>Skipped</t>
        </is>
      </c>
      <c r="I6" s="9" t="inlineStr">
        <is>
          <t>Partial</t>
        </is>
      </c>
      <c r="J6" s="9" t="n"/>
      <c r="K6" s="9" t="inlineStr">
        <is>
          <t>hamburger/MobileNavBar — ยังไม่เจอ selector ชัด (ไม่มี aria/class ตรง) ต้อง probe เพิ่ม</t>
        </is>
      </c>
      <c r="L6" s="9" t="inlineStr">
        <is>
          <t>mobile viewport</t>
        </is>
      </c>
      <c r="M6" s="9" t="n"/>
      <c r="N6" s="9" t="inlineStr">
        <is>
          <t>เปิดเมนูมือถือ</t>
        </is>
      </c>
      <c r="O6" s="9" t="inlineStr">
        <is>
          <t>MobileNavBar เปิด/นำทางถูก</t>
        </is>
      </c>
      <c r="P6" s="9" t="inlineStr">
        <is>
          <t>MobileNavBar.tsx</t>
        </is>
      </c>
      <c r="Q6" s="9" t="n"/>
    </row>
  </sheetData>
  <autoFilter ref="A1:Q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36363"/>
    <outlinePr summaryBelow="1" summaryRight="1"/>
    <pageSetUpPr/>
  </sheetPr>
  <dimension ref="A1:Q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2" customWidth="1" min="5" max="5"/>
    <col width="14" customWidth="1" min="6" max="6"/>
    <col width="9" customWidth="1" min="7" max="7"/>
    <col width="13" customWidth="1" min="8" max="8"/>
    <col width="11" customWidth="1" min="9" max="9"/>
    <col width="11" customWidth="1" min="10" max="10"/>
    <col width="22" customWidth="1" min="11" max="11"/>
    <col width="22" customWidth="1" min="12" max="12"/>
    <col width="14" customWidth="1" min="13" max="13"/>
    <col width="42" customWidth="1" min="14" max="14"/>
    <col width="44" customWidth="1" min="15" max="15"/>
    <col width="28" customWidth="1" min="16" max="16"/>
    <col width="18" customWidth="1" min="17" max="17"/>
  </cols>
  <sheetData>
    <row r="1">
      <c r="A1" s="8" t="inlineStr">
        <is>
          <t>Test Case ID</t>
        </is>
      </c>
      <c r="B1" s="8" t="inlineStr">
        <is>
          <t>Group</t>
        </is>
      </c>
      <c r="C1" s="8" t="inlineStr">
        <is>
          <t>Module</t>
        </is>
      </c>
      <c r="D1" s="8" t="inlineStr">
        <is>
          <t>Feature</t>
        </is>
      </c>
      <c r="E1" s="8" t="inlineStr">
        <is>
          <t>Test Level</t>
        </is>
      </c>
      <c r="F1" s="8" t="inlineStr">
        <is>
          <t>Test Type</t>
        </is>
      </c>
      <c r="G1" s="8" t="inlineStr">
        <is>
          <t>Priority</t>
        </is>
      </c>
      <c r="H1" s="8" t="inlineStr">
        <is>
          <t>Script Status</t>
        </is>
      </c>
      <c r="I1" s="8" t="inlineStr">
        <is>
          <t>Automatable</t>
        </is>
      </c>
      <c r="J1" s="8" t="inlineStr">
        <is>
          <t>Assignee</t>
        </is>
      </c>
      <c r="K1" s="8" t="inlineStr">
        <is>
          <t>Script File / Notes</t>
        </is>
      </c>
      <c r="L1" s="8" t="inlineStr">
        <is>
          <t>Preconditions</t>
        </is>
      </c>
      <c r="M1" s="8" t="inlineStr">
        <is>
          <t>Test Data</t>
        </is>
      </c>
      <c r="N1" s="8" t="inlineStr">
        <is>
          <t>Test Steps</t>
        </is>
      </c>
      <c r="O1" s="8" t="inlineStr">
        <is>
          <t>Expected Result</t>
        </is>
      </c>
      <c r="P1" s="8" t="inlineStr">
        <is>
          <t>Code Evidence</t>
        </is>
      </c>
      <c r="Q1" s="8" t="inlineStr">
        <is>
          <t>Remark</t>
        </is>
      </c>
    </row>
    <row r="2">
      <c r="A2" s="9" t="inlineStr">
        <is>
          <t>TC-XAPI-01</t>
        </is>
      </c>
      <c r="B2" s="9" t="inlineStr">
        <is>
          <t>Cross-cutting</t>
        </is>
      </c>
      <c r="C2" s="9" t="inlineStr">
        <is>
          <t>API Error</t>
        </is>
      </c>
      <c r="D2" s="9" t="inlineStr">
        <is>
          <t>ERP 422 → modal</t>
        </is>
      </c>
      <c r="E2" s="9" t="inlineStr">
        <is>
          <t>API/UI</t>
        </is>
      </c>
      <c r="F2" s="9" t="inlineStr">
        <is>
          <t>Negative</t>
        </is>
      </c>
      <c r="G2" s="9" t="inlineStr">
        <is>
          <t>High</t>
        </is>
      </c>
      <c r="H2" s="9" t="inlineStr">
        <is>
          <t>Not Started</t>
        </is>
      </c>
      <c r="I2" s="9" t="inlineStr">
        <is>
          <t>Partial</t>
        </is>
      </c>
      <c r="J2" s="9" t="n"/>
      <c r="K2" s="9" t="n"/>
      <c r="L2" s="9" t="inlineStr">
        <is>
          <t>mock 422</t>
        </is>
      </c>
      <c r="M2" s="9" t="inlineStr">
        <is>
          <t>TD-24</t>
        </is>
      </c>
      <c r="N2" s="9" t="inlineStr">
        <is>
          <t>submit order/total</t>
        </is>
      </c>
      <c r="O2" s="9" t="inlineStr">
        <is>
          <t>proxy {error:true} → openErrorModal ไม่ crash</t>
        </is>
      </c>
      <c r="P2" s="9" t="inlineStr">
        <is>
          <t>pages/api/order.ts catch</t>
        </is>
      </c>
      <c r="Q2" s="9" t="n"/>
    </row>
    <row r="3">
      <c r="A3" s="9" t="inlineStr">
        <is>
          <t>TC-XAPI-02</t>
        </is>
      </c>
      <c r="B3" s="9" t="inlineStr">
        <is>
          <t>Cross-cutting</t>
        </is>
      </c>
      <c r="C3" s="9" t="inlineStr">
        <is>
          <t>API Error</t>
        </is>
      </c>
      <c r="D3" s="9" t="inlineStr">
        <is>
          <t>ERP 500/timeout</t>
        </is>
      </c>
      <c r="E3" s="9" t="inlineStr">
        <is>
          <t>API/UI</t>
        </is>
      </c>
      <c r="F3" s="9" t="inlineStr">
        <is>
          <t>Negative</t>
        </is>
      </c>
      <c r="G3" s="9" t="inlineStr">
        <is>
          <t>High</t>
        </is>
      </c>
      <c r="H3" s="9" t="inlineStr">
        <is>
          <t>Not Started</t>
        </is>
      </c>
      <c r="I3" s="9" t="inlineStr">
        <is>
          <t>Partial</t>
        </is>
      </c>
      <c r="J3" s="9" t="n"/>
      <c r="K3" s="9" t="n"/>
      <c r="L3" s="9" t="inlineStr">
        <is>
          <t>mock 500/delay</t>
        </is>
      </c>
      <c r="M3" s="9" t="inlineStr">
        <is>
          <t>TD-24</t>
        </is>
      </c>
      <c r="N3" s="9" t="inlineStr">
        <is>
          <t>เรียก total-payment/order</t>
        </is>
      </c>
      <c r="O3" s="9" t="inlineStr">
        <is>
          <t>modal error, ไม่ค้าง/crash</t>
        </is>
      </c>
      <c r="P3" s="9" t="inlineStr">
        <is>
          <t>instance.ts interceptors</t>
        </is>
      </c>
      <c r="Q3" s="9" t="n"/>
    </row>
    <row r="4">
      <c r="A4" s="9" t="inlineStr">
        <is>
          <t>TC-XSESS-01</t>
        </is>
      </c>
      <c r="B4" s="9" t="inlineStr">
        <is>
          <t>Cross-cutting</t>
        </is>
      </c>
      <c r="C4" s="9" t="inlineStr">
        <is>
          <t>Session</t>
        </is>
      </c>
      <c r="D4" s="9" t="inlineStr">
        <is>
          <t>401 → clear+reload</t>
        </is>
      </c>
      <c r="E4" s="9" t="inlineStr">
        <is>
          <t>UI</t>
        </is>
      </c>
      <c r="F4" s="9" t="inlineStr">
        <is>
          <t>Session</t>
        </is>
      </c>
      <c r="G4" s="9" t="inlineStr">
        <is>
          <t>High</t>
        </is>
      </c>
      <c r="H4" s="9" t="inlineStr">
        <is>
          <t>Not Started</t>
        </is>
      </c>
      <c r="I4" s="9" t="inlineStr">
        <is>
          <t>Partial</t>
        </is>
      </c>
      <c r="J4" s="9" t="n"/>
      <c r="K4" s="9" t="n"/>
      <c r="L4" s="9" t="inlineStr">
        <is>
          <t>login + mock 401</t>
        </is>
      </c>
      <c r="M4" s="9" t="inlineStr">
        <is>
          <t>TD-24</t>
        </is>
      </c>
      <c r="N4" s="9" t="inlineStr">
        <is>
          <t>เรียก ERP_API ระหว่าง flow</t>
        </is>
      </c>
      <c r="O4" s="9" t="inlineStr">
        <is>
          <t>clearStorage() + reload</t>
        </is>
      </c>
      <c r="P4" s="9" t="inlineStr">
        <is>
          <t>instance.ts ERP_API</t>
        </is>
      </c>
      <c r="Q4" s="9" t="n"/>
    </row>
    <row r="5">
      <c r="A5" s="9" t="inlineStr">
        <is>
          <t>TC-XSESS-02</t>
        </is>
      </c>
      <c r="B5" s="9" t="inlineStr">
        <is>
          <t>Cross-cutting</t>
        </is>
      </c>
      <c r="C5" s="9" t="inlineStr">
        <is>
          <t>Session</t>
        </is>
      </c>
      <c r="D5" s="9" t="inlineStr">
        <is>
          <t>token หมดอายุกลาง flow</t>
        </is>
      </c>
      <c r="E5" s="9" t="inlineStr">
        <is>
          <t>UI</t>
        </is>
      </c>
      <c r="F5" s="9" t="inlineStr">
        <is>
          <t>Session</t>
        </is>
      </c>
      <c r="G5" s="9" t="inlineStr">
        <is>
          <t>Medium</t>
        </is>
      </c>
      <c r="H5" s="9" t="inlineStr">
        <is>
          <t>Not Started</t>
        </is>
      </c>
      <c r="I5" s="9" t="inlineStr">
        <is>
          <t>Partial</t>
        </is>
      </c>
      <c r="J5" s="9" t="n"/>
      <c r="K5" s="9" t="n"/>
      <c r="L5" s="9" t="inlineStr">
        <is>
          <t>token หมดอายุ</t>
        </is>
      </c>
      <c r="M5" s="9" t="inlineStr">
        <is>
          <t>TD-02</t>
        </is>
      </c>
      <c r="N5" s="9" t="inlineStr">
        <is>
          <t>กระทำต่อ</t>
        </is>
      </c>
      <c r="O5" s="9" t="inlineStr">
        <is>
          <t>จัดการ session หมด ไม่ค้าง</t>
        </is>
      </c>
      <c r="P5" s="9" t="inlineStr">
        <is>
          <t>instance.ts</t>
        </is>
      </c>
      <c r="Q5" s="9" t="n"/>
    </row>
    <row r="6">
      <c r="A6" s="9" t="inlineStr">
        <is>
          <t>TC-XSEC-01</t>
        </is>
      </c>
      <c r="B6" s="9" t="inlineStr">
        <is>
          <t>Cross-cutting</t>
        </is>
      </c>
      <c r="C6" s="9" t="inlineStr">
        <is>
          <t>Security</t>
        </is>
      </c>
      <c r="D6" s="9" t="inlineStr">
        <is>
          <t>consent bypass (PDPA)</t>
        </is>
      </c>
      <c r="E6" s="9" t="inlineStr">
        <is>
          <t>API</t>
        </is>
      </c>
      <c r="F6" s="9" t="inlineStr">
        <is>
          <t>Security</t>
        </is>
      </c>
      <c r="G6" s="9" t="inlineStr">
        <is>
          <t>High</t>
        </is>
      </c>
      <c r="H6" s="9" t="inlineStr">
        <is>
          <t>Not Started</t>
        </is>
      </c>
      <c r="I6" s="9" t="inlineStr">
        <is>
          <t>Yes</t>
        </is>
      </c>
      <c r="J6" s="9" t="n"/>
      <c r="K6" s="9" t="n"/>
      <c r="L6" s="9" t="inlineStr">
        <is>
          <t>-</t>
        </is>
      </c>
      <c r="M6" s="9" t="n"/>
      <c r="N6" s="9" t="inlineStr">
        <is>
          <t>POST /api/order ไม่มี privacy_policy</t>
        </is>
      </c>
      <c r="O6" s="9" t="inlineStr">
        <is>
          <t>DEF-L1: BE ไม่ block → flag ความเสี่ยง + แจ้ง dev</t>
        </is>
      </c>
      <c r="P6" s="9" t="inlineStr">
        <is>
          <t>OrderController::store</t>
        </is>
      </c>
      <c r="Q6" s="9" t="inlineStr">
        <is>
          <t>DEF-L1</t>
        </is>
      </c>
    </row>
    <row r="7">
      <c r="A7" s="9" t="inlineStr">
        <is>
          <t>TC-XSEC-02</t>
        </is>
      </c>
      <c r="B7" s="9" t="inlineStr">
        <is>
          <t>Cross-cutting</t>
        </is>
      </c>
      <c r="C7" s="9" t="inlineStr">
        <is>
          <t>Security</t>
        </is>
      </c>
      <c r="D7" s="9" t="inlineStr">
        <is>
          <t>phone FE≠BE</t>
        </is>
      </c>
      <c r="E7" s="9" t="inlineStr">
        <is>
          <t>API</t>
        </is>
      </c>
      <c r="F7" s="9" t="inlineStr">
        <is>
          <t>Security</t>
        </is>
      </c>
      <c r="G7" s="9" t="inlineStr">
        <is>
          <t>Medium</t>
        </is>
      </c>
      <c r="H7" s="9" t="inlineStr">
        <is>
          <t>Not Started</t>
        </is>
      </c>
      <c r="I7" s="9" t="inlineStr">
        <is>
          <t>Yes</t>
        </is>
      </c>
      <c r="J7" s="9" t="n"/>
      <c r="K7" s="9" t="n"/>
      <c r="L7" s="9" t="inlineStr">
        <is>
          <t>-</t>
        </is>
      </c>
      <c r="M7" s="9" t="n"/>
      <c r="N7" s="9" t="inlineStr">
        <is>
          <t>ส่ง +66.../มี space ตรง API</t>
        </is>
      </c>
      <c r="O7" s="9" t="inlineStr">
        <is>
          <t>DEF-L2: FE reject แต่ BE รับ → flag inconsistency</t>
        </is>
      </c>
      <c r="P7" s="9" t="inlineStr">
        <is>
          <t>validation.ts vs OrderController</t>
        </is>
      </c>
      <c r="Q7" s="9" t="inlineStr">
        <is>
          <t>DEF-L2</t>
        </is>
      </c>
    </row>
    <row r="8">
      <c r="A8" s="9" t="inlineStr">
        <is>
          <t>TC-XSEC-03</t>
        </is>
      </c>
      <c r="B8" s="9" t="inlineStr">
        <is>
          <t>Cross-cutting</t>
        </is>
      </c>
      <c r="C8" s="9" t="inlineStr">
        <is>
          <t>Security</t>
        </is>
      </c>
      <c r="D8" s="9" t="inlineStr">
        <is>
          <t>line_id regex</t>
        </is>
      </c>
      <c r="E8" s="9" t="inlineStr">
        <is>
          <t>UI</t>
        </is>
      </c>
      <c r="F8" s="9" t="inlineStr">
        <is>
          <t>Validation</t>
        </is>
      </c>
      <c r="G8" s="9" t="inlineStr">
        <is>
          <t>Low</t>
        </is>
      </c>
      <c r="H8" s="9" t="inlineStr">
        <is>
          <t>Not Started</t>
        </is>
      </c>
      <c r="I8" s="9" t="inlineStr">
        <is>
          <t>Yes</t>
        </is>
      </c>
      <c r="J8" s="9" t="n"/>
      <c r="K8" s="9" t="n"/>
      <c r="L8" s="9" t="inlineStr">
        <is>
          <t>checkout</t>
        </is>
      </c>
      <c r="M8" s="9" t="inlineStr">
        <is>
          <t>TD-03</t>
        </is>
      </c>
      <c r="N8" s="9" t="inlineStr">
        <is>
          <t>line_id อักษรใหญ่/&gt;20</t>
        </is>
      </c>
      <c r="O8" s="9" t="inlineStr">
        <is>
          <t>FE reject ตาม ^[a-z0-9_-]{,20}$</t>
        </is>
      </c>
      <c r="P8" s="9" t="inlineStr">
        <is>
          <t>validation.ts:27-33</t>
        </is>
      </c>
      <c r="Q8" s="9" t="n"/>
    </row>
    <row r="9">
      <c r="A9" s="9" t="inlineStr">
        <is>
          <t>TC-XSEC-04</t>
        </is>
      </c>
      <c r="B9" s="9" t="inlineStr">
        <is>
          <t>Cross-cutting</t>
        </is>
      </c>
      <c r="C9" s="9" t="inlineStr">
        <is>
          <t>Security</t>
        </is>
      </c>
      <c r="D9" s="9" t="inlineStr">
        <is>
          <t>XSS/SQLi ในป้าย/ศาลา</t>
        </is>
      </c>
      <c r="E9" s="9" t="inlineStr">
        <is>
          <t>API</t>
        </is>
      </c>
      <c r="F9" s="9" t="inlineStr">
        <is>
          <t>Security</t>
        </is>
      </c>
      <c r="G9" s="9" t="inlineStr">
        <is>
          <t>Medium</t>
        </is>
      </c>
      <c r="H9" s="9" t="inlineStr">
        <is>
          <t>Not Started</t>
        </is>
      </c>
      <c r="I9" s="9" t="inlineStr">
        <is>
          <t>Partial</t>
        </is>
      </c>
      <c r="J9" s="9" t="n"/>
      <c r="K9" s="9" t="n"/>
      <c r="L9" s="9" t="inlineStr">
        <is>
          <t>-</t>
        </is>
      </c>
      <c r="M9" s="9" t="n"/>
      <c r="N9" s="9" t="inlineStr">
        <is>
          <t>กรอก &lt;script&gt; / ' OR '1'='1</t>
        </is>
      </c>
      <c r="O9" s="9" t="inlineStr">
        <is>
          <t>ไม่ execute/ไม่ 500 (Eloquent param)</t>
        </is>
      </c>
      <c r="P9" s="9" t="inlineStr">
        <is>
          <t>OrderController::store</t>
        </is>
      </c>
      <c r="Q9" s="9" t="n"/>
    </row>
    <row r="10">
      <c r="A10" s="9" t="inlineStr">
        <is>
          <t>TC-XPERF-01</t>
        </is>
      </c>
      <c r="B10" s="9" t="inlineStr">
        <is>
          <t>Cross-cutting</t>
        </is>
      </c>
      <c r="C10" s="9" t="inlineStr">
        <is>
          <t>Race</t>
        </is>
      </c>
      <c r="D10" s="9" t="inlineStr">
        <is>
          <t>double-submit ชำระ</t>
        </is>
      </c>
      <c r="E10" s="9" t="inlineStr">
        <is>
          <t>UI</t>
        </is>
      </c>
      <c r="F10" s="9" t="inlineStr">
        <is>
          <t>Race</t>
        </is>
      </c>
      <c r="G10" s="9" t="inlineStr">
        <is>
          <t>High</t>
        </is>
      </c>
      <c r="H10" s="9" t="inlineStr">
        <is>
          <t>Not Started</t>
        </is>
      </c>
      <c r="I10" s="9" t="inlineStr">
        <is>
          <t>Yes</t>
        </is>
      </c>
      <c r="J10" s="9" t="n"/>
      <c r="K10" s="9" t="n"/>
      <c r="L10" s="9" t="inlineStr">
        <is>
          <t>กรอก checkout ครบ</t>
        </is>
      </c>
      <c r="M10" s="9" t="inlineStr">
        <is>
          <t>TD-03</t>
        </is>
      </c>
      <c r="N10" s="9" t="inlineStr">
        <is>
          <t>กดชำระรัว 2 ครั้ง</t>
        </is>
      </c>
      <c r="O10" s="9" t="inlineStr">
        <is>
          <t>isSubmitting block ครั้งที่ 2, ไม่สร้างออเดอร์ซ้ำ</t>
        </is>
      </c>
      <c r="P10" s="9" t="inlineStr">
        <is>
          <t>CheckoutForm:onSubmit</t>
        </is>
      </c>
      <c r="Q10" s="9" t="n"/>
    </row>
    <row r="11">
      <c r="A11" s="9" t="inlineStr">
        <is>
          <t>TC-XPERF-02</t>
        </is>
      </c>
      <c r="B11" s="9" t="inlineStr">
        <is>
          <t>Cross-cutting</t>
        </is>
      </c>
      <c r="C11" s="9" t="inlineStr">
        <is>
          <t>SEO</t>
        </is>
      </c>
      <c r="D11" s="9" t="inlineStr">
        <is>
          <t>SEO/JSON-LD/canonical</t>
        </is>
      </c>
      <c r="E11" s="9" t="inlineStr">
        <is>
          <t>UI</t>
        </is>
      </c>
      <c r="F11" s="9" t="inlineStr">
        <is>
          <t>Functional</t>
        </is>
      </c>
      <c r="G11" s="9" t="inlineStr">
        <is>
          <t>Low</t>
        </is>
      </c>
      <c r="H11" s="9" t="inlineStr">
        <is>
          <t>Not Started</t>
        </is>
      </c>
      <c r="I11" s="9" t="inlineStr">
        <is>
          <t>Partial</t>
        </is>
      </c>
      <c r="J11" s="9" t="n"/>
      <c r="K11" s="9" t="n"/>
      <c r="L11" s="9" t="inlineStr">
        <is>
          <t>-</t>
        </is>
      </c>
      <c r="M11" s="9" t="n"/>
      <c r="N11" s="9" t="inlineStr">
        <is>
          <t>ตรวจ meta/og/JSON-LD หน้า PDP/article</t>
        </is>
      </c>
      <c r="O11" s="9" t="inlineStr">
        <is>
          <t>structured data ครบ, canonical ถูก</t>
        </is>
      </c>
      <c r="P11" s="9" t="inlineStr">
        <is>
          <t>page metadata</t>
        </is>
      </c>
      <c r="Q11" s="9" t="n"/>
    </row>
    <row r="12">
      <c r="A12" s="9" t="inlineStr">
        <is>
          <t>TC-XPERF-03</t>
        </is>
      </c>
      <c r="B12" s="9" t="inlineStr">
        <is>
          <t>Cross-cutting</t>
        </is>
      </c>
      <c r="C12" s="9" t="inlineStr">
        <is>
          <t>Compat</t>
        </is>
      </c>
      <c r="D12" s="9" t="inlineStr">
        <is>
          <t>responsive/cross-browser</t>
        </is>
      </c>
      <c r="E12" s="9" t="inlineStr">
        <is>
          <t>UI</t>
        </is>
      </c>
      <c r="F12" s="9" t="inlineStr">
        <is>
          <t>Compat</t>
        </is>
      </c>
      <c r="G12" s="9" t="inlineStr">
        <is>
          <t>Low</t>
        </is>
      </c>
      <c r="H12" s="9" t="inlineStr">
        <is>
          <t>Not Started</t>
        </is>
      </c>
      <c r="I12" s="9" t="inlineStr">
        <is>
          <t>Manual</t>
        </is>
      </c>
      <c r="J12" s="9" t="n"/>
      <c r="K12" s="9" t="n"/>
      <c r="L12" s="9" t="inlineStr">
        <is>
          <t>-</t>
        </is>
      </c>
      <c r="M12" s="9" t="n"/>
      <c r="N12" s="9" t="inlineStr">
        <is>
          <t>ทดสอบ datepicker/upload/clipboard บนมือถือ</t>
        </is>
      </c>
      <c r="O12" s="9" t="inlineStr">
        <is>
          <t>ทำงานข้าม browser/อุปกรณ์</t>
        </is>
      </c>
      <c r="P12" s="9" t="inlineStr">
        <is>
          <t>ทั่วไป</t>
        </is>
      </c>
      <c r="Q12" s="9" t="n"/>
    </row>
  </sheetData>
  <autoFilter ref="A1:Q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6" t="inlineStr">
        <is>
          <t>Full-Site Test Cases — Summary (แยกชีตตามประเภท)</t>
        </is>
      </c>
    </row>
    <row r="3">
      <c r="A3" s="7" t="inlineStr">
        <is>
          <t>Total test cases</t>
        </is>
      </c>
      <c r="B3" t="n">
        <v>113</v>
      </c>
    </row>
    <row r="5">
      <c r="A5" s="7" t="inlineStr">
        <is>
          <t>Script Status</t>
        </is>
      </c>
      <c r="B5" s="7" t="inlineStr">
        <is>
          <t>Count (live)</t>
        </is>
      </c>
    </row>
    <row r="6">
      <c r="A6" t="inlineStr">
        <is>
          <t>Not Started</t>
        </is>
      </c>
      <c r="B6">
        <f>COUNTIF('A-Account-Auth'!H:H,"Not Started")+COUNTIF('B-MessageCard'!H:H,"Not Started")+COUNTIF('F-ProductDiscovery'!H:H,"Not Started")+COUNTIF('G-Content-SEO'!H:H,"Not Started")+COUNTIF('H-LINE-B2B'!H:H,"Not Started")+COUNTIF('I-Tracking'!H:H,"Not Started")+COUNTIF('J-Contact-Corporate'!H:H,"Not Started")+COUNTIF('K-Global'!H:H,"Not Started")+COUNTIF('L-Cross-cutting'!H:H,"Not Started")</f>
        <v/>
      </c>
    </row>
    <row r="7">
      <c r="A7" t="inlineStr">
        <is>
          <t>In Progress</t>
        </is>
      </c>
      <c r="B7">
        <f>COUNTIF('A-Account-Auth'!H:H,"In Progress")+COUNTIF('B-MessageCard'!H:H,"In Progress")+COUNTIF('F-ProductDiscovery'!H:H,"In Progress")+COUNTIF('G-Content-SEO'!H:H,"In Progress")+COUNTIF('H-LINE-B2B'!H:H,"In Progress")+COUNTIF('I-Tracking'!H:H,"In Progress")+COUNTIF('J-Contact-Corporate'!H:H,"In Progress")+COUNTIF('K-Global'!H:H,"In Progress")+COUNTIF('L-Cross-cutting'!H:H,"In Progress")</f>
        <v/>
      </c>
    </row>
    <row r="8">
      <c r="A8" t="inlineStr">
        <is>
          <t>Script Done</t>
        </is>
      </c>
      <c r="B8">
        <f>COUNTIF('A-Account-Auth'!H:H,"Script Done")+COUNTIF('B-MessageCard'!H:H,"Script Done")+COUNTIF('F-ProductDiscovery'!H:H,"Script Done")+COUNTIF('G-Content-SEO'!H:H,"Script Done")+COUNTIF('H-LINE-B2B'!H:H,"Script Done")+COUNTIF('I-Tracking'!H:H,"Script Done")+COUNTIF('J-Contact-Corporate'!H:H,"Script Done")+COUNTIF('K-Global'!H:H,"Script Done")+COUNTIF('L-Cross-cutting'!H:H,"Script Done")</f>
        <v/>
      </c>
    </row>
    <row r="9">
      <c r="A9" t="inlineStr">
        <is>
          <t>Reviewed</t>
        </is>
      </c>
      <c r="B9">
        <f>COUNTIF('A-Account-Auth'!H:H,"Reviewed")+COUNTIF('B-MessageCard'!H:H,"Reviewed")+COUNTIF('F-ProductDiscovery'!H:H,"Reviewed")+COUNTIF('G-Content-SEO'!H:H,"Reviewed")+COUNTIF('H-LINE-B2B'!H:H,"Reviewed")+COUNTIF('I-Tracking'!H:H,"Reviewed")+COUNTIF('J-Contact-Corporate'!H:H,"Reviewed")+COUNTIF('K-Global'!H:H,"Reviewed")+COUNTIF('L-Cross-cutting'!H:H,"Reviewed")</f>
        <v/>
      </c>
    </row>
    <row r="10">
      <c r="A10" t="inlineStr">
        <is>
          <t>Blocked</t>
        </is>
      </c>
      <c r="B10">
        <f>COUNTIF('A-Account-Auth'!H:H,"Blocked")+COUNTIF('B-MessageCard'!H:H,"Blocked")+COUNTIF('F-ProductDiscovery'!H:H,"Blocked")+COUNTIF('G-Content-SEO'!H:H,"Blocked")+COUNTIF('H-LINE-B2B'!H:H,"Blocked")+COUNTIF('I-Tracking'!H:H,"Blocked")+COUNTIF('J-Contact-Corporate'!H:H,"Blocked")+COUNTIF('K-Global'!H:H,"Blocked")+COUNTIF('L-Cross-cutting'!H:H,"Blocked")</f>
        <v/>
      </c>
    </row>
    <row r="11">
      <c r="A11" t="inlineStr">
        <is>
          <t>Skipped</t>
        </is>
      </c>
      <c r="B11">
        <f>COUNTIF('A-Account-Auth'!H:H,"Skipped")+COUNTIF('B-MessageCard'!H:H,"Skipped")+COUNTIF('F-ProductDiscovery'!H:H,"Skipped")+COUNTIF('G-Content-SEO'!H:H,"Skipped")+COUNTIF('H-LINE-B2B'!H:H,"Skipped")+COUNTIF('I-Tracking'!H:H,"Skipped")+COUNTIF('J-Contact-Corporate'!H:H,"Skipped")+COUNTIF('K-Global'!H:H,"Skipped")+COUNTIF('L-Cross-cutting'!H:H,"Skipped")</f>
        <v/>
      </c>
    </row>
    <row r="13">
      <c r="A13" s="7" t="inlineStr">
        <is>
          <t>By Priority</t>
        </is>
      </c>
      <c r="B13" s="7" t="inlineStr">
        <is>
          <t>Count</t>
        </is>
      </c>
    </row>
    <row r="14">
      <c r="A14" t="inlineStr">
        <is>
          <t>High</t>
        </is>
      </c>
      <c r="B14">
        <f>COUNTIF('A-Account-Auth'!G:G,"High*")+COUNTIF('B-MessageCard'!G:G,"High*")+COUNTIF('F-ProductDiscovery'!G:G,"High*")+COUNTIF('G-Content-SEO'!G:G,"High*")+COUNTIF('H-LINE-B2B'!G:G,"High*")+COUNTIF('I-Tracking'!G:G,"High*")+COUNTIF('J-Contact-Corporate'!G:G,"High*")+COUNTIF('K-Global'!G:G,"High*")+COUNTIF('L-Cross-cutting'!G:G,"High*")</f>
        <v/>
      </c>
    </row>
    <row r="15">
      <c r="A15" t="inlineStr">
        <is>
          <t>Medium</t>
        </is>
      </c>
      <c r="B15">
        <f>COUNTIF('A-Account-Auth'!G:G,"Medium*")+COUNTIF('B-MessageCard'!G:G,"Medium*")+COUNTIF('F-ProductDiscovery'!G:G,"Medium*")+COUNTIF('G-Content-SEO'!G:G,"Medium*")+COUNTIF('H-LINE-B2B'!G:G,"Medium*")+COUNTIF('I-Tracking'!G:G,"Medium*")+COUNTIF('J-Contact-Corporate'!G:G,"Medium*")+COUNTIF('K-Global'!G:G,"Medium*")+COUNTIF('L-Cross-cutting'!G:G,"Medium*")</f>
        <v/>
      </c>
    </row>
    <row r="16">
      <c r="A16" t="inlineStr">
        <is>
          <t>Low</t>
        </is>
      </c>
      <c r="B16">
        <f>COUNTIF('A-Account-Auth'!G:G,"Low*")+COUNTIF('B-MessageCard'!G:G,"Low*")+COUNTIF('F-ProductDiscovery'!G:G,"Low*")+COUNTIF('G-Content-SEO'!G:G,"Low*")+COUNTIF('H-LINE-B2B'!G:G,"Low*")+COUNTIF('I-Tracking'!G:G,"Low*")+COUNTIF('J-Contact-Corporate'!G:G,"Low*")+COUNTIF('K-Global'!G:G,"Low*")+COUNTIF('L-Cross-cutting'!G:G,"Low*")</f>
        <v/>
      </c>
    </row>
    <row r="18">
      <c r="A18" s="7" t="inlineStr">
        <is>
          <t>By Sheet (ประเภท)</t>
        </is>
      </c>
      <c r="B18" s="7" t="inlineStr">
        <is>
          <t>Count</t>
        </is>
      </c>
    </row>
    <row r="19">
      <c r="A19" t="inlineStr">
        <is>
          <t>A-Account-Auth  (Account / Auth)</t>
        </is>
      </c>
      <c r="B19">
        <f>COUNTA('A-Account-Auth'!A:A)-1</f>
        <v/>
      </c>
    </row>
    <row r="20">
      <c r="A20" t="inlineStr">
        <is>
          <t>B-MessageCard  (Message Card / Ribbon)</t>
        </is>
      </c>
      <c r="B20">
        <f>COUNTA('B-MessageCard'!A:A)-1</f>
        <v/>
      </c>
    </row>
    <row r="21">
      <c r="A21" t="inlineStr">
        <is>
          <t>F-ProductDiscovery  (Product Discovery)</t>
        </is>
      </c>
      <c r="B21">
        <f>COUNTA('F-ProductDiscovery'!A:A)-1</f>
        <v/>
      </c>
    </row>
    <row r="22">
      <c r="A22" t="inlineStr">
        <is>
          <t>G-Content-SEO  (Content / SEO)</t>
        </is>
      </c>
      <c r="B22">
        <f>COUNTA('G-Content-SEO'!A:A)-1</f>
        <v/>
      </c>
    </row>
    <row r="23">
      <c r="A23" t="inlineStr">
        <is>
          <t>H-LINE-B2B  (LINE / B2B)</t>
        </is>
      </c>
      <c r="B23">
        <f>COUNTA('H-LINE-B2B'!A:A)-1</f>
        <v/>
      </c>
    </row>
    <row r="24">
      <c r="A24" t="inlineStr">
        <is>
          <t>I-Tracking  (Tracking)</t>
        </is>
      </c>
      <c r="B24">
        <f>COUNTA('I-Tracking'!A:A)-1</f>
        <v/>
      </c>
    </row>
    <row r="25">
      <c r="A25" t="inlineStr">
        <is>
          <t>J-Contact-Corporate  (Contact / Corporate)</t>
        </is>
      </c>
      <c r="B25">
        <f>COUNTA('J-Contact-Corporate'!A:A)-1</f>
        <v/>
      </c>
    </row>
    <row r="26">
      <c r="A26" t="inlineStr">
        <is>
          <t>K-Global  (Global Components)</t>
        </is>
      </c>
      <c r="B26">
        <f>COUNTA('K-Global'!A:A)-1</f>
        <v/>
      </c>
    </row>
    <row r="27">
      <c r="A27" t="inlineStr">
        <is>
          <t>L-Cross-cutting  (Cross-cutting)</t>
        </is>
      </c>
      <c r="B27">
        <f>COUNTA('L-Cross-cutting'!A:A)-1</f>
        <v/>
      </c>
    </row>
    <row r="29">
      <c r="A29" s="7" t="inlineStr">
        <is>
          <t>By Automatable</t>
        </is>
      </c>
      <c r="B29" s="7" t="inlineStr">
        <is>
          <t>Count</t>
        </is>
      </c>
    </row>
    <row r="30">
      <c r="A30" t="inlineStr">
        <is>
          <t>Yes</t>
        </is>
      </c>
      <c r="B30">
        <f>COUNTIF('A-Account-Auth'!I:I,"Yes")+COUNTIF('B-MessageCard'!I:I,"Yes")+COUNTIF('F-ProductDiscovery'!I:I,"Yes")+COUNTIF('G-Content-SEO'!I:I,"Yes")+COUNTIF('H-LINE-B2B'!I:I,"Yes")+COUNTIF('I-Tracking'!I:I,"Yes")+COUNTIF('J-Contact-Corporate'!I:I,"Yes")+COUNTIF('K-Global'!I:I,"Yes")+COUNTIF('L-Cross-cutting'!I:I,"Yes")</f>
        <v/>
      </c>
    </row>
    <row r="31">
      <c r="A31" t="inlineStr">
        <is>
          <t>Partial</t>
        </is>
      </c>
      <c r="B31">
        <f>COUNTIF('A-Account-Auth'!I:I,"Partial")+COUNTIF('B-MessageCard'!I:I,"Partial")+COUNTIF('F-ProductDiscovery'!I:I,"Partial")+COUNTIF('G-Content-SEO'!I:I,"Partial")+COUNTIF('H-LINE-B2B'!I:I,"Partial")+COUNTIF('I-Tracking'!I:I,"Partial")+COUNTIF('J-Contact-Corporate'!I:I,"Partial")+COUNTIF('K-Global'!I:I,"Partial")+COUNTIF('L-Cross-cutting'!I:I,"Partial")</f>
        <v/>
      </c>
    </row>
    <row r="32">
      <c r="A32" t="inlineStr">
        <is>
          <t>Manual</t>
        </is>
      </c>
      <c r="B32">
        <f>COUNTIF('A-Account-Auth'!I:I,"Manual")+COUNTIF('B-MessageCard'!I:I,"Manual")+COUNTIF('F-ProductDiscovery'!I:I,"Manual")+COUNTIF('G-Content-SEO'!I:I,"Manual")+COUNTIF('H-LINE-B2B'!I:I,"Manual")+COUNTIF('I-Tracking'!I:I,"Manual")+COUNTIF('J-Contact-Corporate'!I:I,"Manual")+COUNTIF('K-Global'!I:I,"Manual")+COUNTIF('L-Cross-cutting'!I:I,"Manual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6" t="inlineStr">
        <is>
          <t>สรุปความคืบหน้า Automation</t>
        </is>
      </c>
      <c r="B1" t="inlineStr">
        <is>
          <t>2026-06-30 (Claude Code session)</t>
        </is>
      </c>
    </row>
    <row r="3">
      <c r="A3" s="7" t="inlineStr">
        <is>
          <t>ทำเสร็จ + รันผ่านบน staging</t>
        </is>
      </c>
      <c r="B3" t="inlineStr">
        <is>
          <t>25 เคส (+ Content/SEO: CMS-04 service, CMS-05 info×8, CMS-07 404)</t>
        </is>
      </c>
    </row>
    <row r="4">
      <c r="A4" t="inlineStr">
        <is>
          <t xml:space="preserve">  Coupon (tests/promo/)</t>
        </is>
      </c>
      <c r="B4" t="inlineStr">
        <is>
          <t>TC-PROMO-04 guest / 02-R invalid / 03-R empty / 07 used</t>
        </is>
      </c>
    </row>
    <row r="5">
      <c r="A5" t="inlineStr">
        <is>
          <t xml:space="preserve">  Checkout rules</t>
        </is>
      </c>
      <c r="B5" t="inlineStr">
        <is>
          <t>TC-CHK-09 วันอดีต / TC-CHK-11 &gt;30วัน boundary / TC-CHK-13 ป้าย&lt;จำนวนพวง</t>
        </is>
      </c>
    </row>
    <row r="6">
      <c r="A6" t="inlineStr">
        <is>
          <t xml:space="preserve">  User-infos (A6)</t>
        </is>
      </c>
      <c r="B6" t="inlineStr">
        <is>
          <t>TC-USER-01 guest / 02 prefill / 05 email RO / 12 logout / 13 tab switch ; TC-OH-02 empty orders</t>
        </is>
      </c>
    </row>
    <row r="8">
      <c r="A8" s="7" t="inlineStr">
        <is>
          <t>Blocked รอ data/วิธี</t>
        </is>
      </c>
      <c r="B8" t="inlineStr">
        <is>
          <t>8 เคส</t>
        </is>
      </c>
    </row>
    <row r="9">
      <c r="A9" t="inlineStr">
        <is>
          <t xml:space="preserve">  รอ coupon data จาก dev</t>
        </is>
      </c>
      <c r="B9" t="inlineStr">
        <is>
          <t>TC-PROMO-01-R / 05 / 06 / 09 / 10 (ดู QA-Coupon-TestData-Request.md)</t>
        </is>
      </c>
    </row>
    <row r="10">
      <c r="A10" t="inlineStr">
        <is>
          <t xml:space="preserve">  รอ codeExpired จริง</t>
        </is>
      </c>
      <c r="B10" t="inlineStr">
        <is>
          <t>TC-PROMO-02-R (sub-case expired) — WD12 ไม่ reject</t>
        </is>
      </c>
    </row>
    <row r="11">
      <c r="A11" t="inlineStr">
        <is>
          <t xml:space="preserve">  ต้องเปิด API track</t>
        </is>
      </c>
      <c r="B11" t="inlineStr">
        <is>
          <t>TC-CHK-12 slug ปลอม (POST /api/order) — รอ RequestsLibrary</t>
        </is>
      </c>
    </row>
    <row r="12">
      <c r="A12" t="inlineStr">
        <is>
          <t xml:space="preserve">  flaky ตามเวลา</t>
        </is>
      </c>
      <c r="B12" t="inlineStr">
        <is>
          <t>TC-CHK-10 จัดส่ง &lt;4ชม. — รอ mock เวลา</t>
        </is>
      </c>
    </row>
    <row r="14">
      <c r="A14" s="7" t="inlineStr">
        <is>
          <t>แก้ infra ระหว่างทาง</t>
        </is>
      </c>
      <c r="B14" t="inlineStr">
        <is>
          <t>- Fix bug Click First Visible (auth) ที่ทำ login พังทั้งชุด</t>
        </is>
      </c>
    </row>
    <row r="15">
      <c r="B15" t="inlineStr">
        <is>
          <t>- เพิ่ม helper first-visible input/click + retry กัน stale element</t>
        </is>
      </c>
    </row>
    <row r="16">
      <c r="B16" t="inlineStr">
        <is>
          <t>- เพิ่ม keyword ปฏิทินจัดส่ง (boundary) + coupon apply/error</t>
        </is>
      </c>
    </row>
    <row r="17">
      <c r="B17" t="inlineStr">
        <is>
          <t>- เพิ่ม date helper relative_aria_label / aria_date_part</t>
        </is>
      </c>
    </row>
    <row r="18">
      <c r="B18" t="inlineStr">
        <is>
          <t>- coupons.json ใส่ code staging จริง; route USER_INFOS</t>
        </is>
      </c>
    </row>
    <row r="20">
      <c r="A20" s="7" t="inlineStr">
        <is>
          <t>คำสั่งรัน</t>
        </is>
      </c>
      <c r="B20" t="inlineStr">
        <is>
          <t>robot --listener listeners/ScreenshotListener.py \</t>
        </is>
      </c>
    </row>
    <row r="21">
      <c r="B21" t="inlineStr">
        <is>
          <t xml:space="preserve">  --pythonpath libraries --pythonpath . \</t>
        </is>
      </c>
    </row>
    <row r="22">
      <c r="B22" t="inlineStr">
        <is>
          <t xml:space="preserve">  --variablefile resources/variables/env_staging.yaml \</t>
        </is>
      </c>
    </row>
    <row r="23">
      <c r="B23" t="inlineStr">
        <is>
          <t xml:space="preserve">  --exclude createsorder --outputdir results tests</t>
        </is>
      </c>
    </row>
    <row r="25">
      <c r="A25" s="7" t="inlineStr">
        <is>
          <t>git</t>
        </is>
      </c>
      <c r="B25" t="inlineStr">
        <is>
          <t>branch qa/coupon-checkout-rules-user-infos, commit 838395e</t>
        </is>
      </c>
    </row>
    <row r="26">
      <c r="A26" t="inlineStr">
        <is>
          <t>หมายเหตุ ID ซ้ำ</t>
        </is>
      </c>
      <c r="B26" t="inlineStr">
        <is>
          <t>repo file checkout/TC-CHK-09_out-of-province ใช้ ID ผิด (ที่จริง=TC-CART-05-R)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6" t="inlineStr">
        <is>
          <t>Script Status Tracker — Summary</t>
        </is>
      </c>
    </row>
    <row r="3">
      <c r="A3" t="inlineStr">
        <is>
          <t>Total test cases</t>
        </is>
      </c>
      <c r="B3" t="n">
        <v>75</v>
      </c>
    </row>
    <row r="5">
      <c r="A5" s="7" t="inlineStr">
        <is>
          <t>Script Status</t>
        </is>
      </c>
      <c r="B5" s="7" t="inlineStr">
        <is>
          <t>Count (live)</t>
        </is>
      </c>
    </row>
    <row r="6">
      <c r="A6" t="inlineStr">
        <is>
          <t>Not Started</t>
        </is>
      </c>
      <c r="B6">
        <f>COUNTIF(checkout!H:H,"Not Started")</f>
        <v/>
      </c>
    </row>
    <row r="7">
      <c r="A7" t="inlineStr">
        <is>
          <t>In Progress</t>
        </is>
      </c>
      <c r="B7">
        <f>COUNTIF(checkout!H:H,"In Progress")</f>
        <v/>
      </c>
    </row>
    <row r="8">
      <c r="A8" t="inlineStr">
        <is>
          <t>Script Done</t>
        </is>
      </c>
      <c r="B8">
        <f>COUNTIF(checkout!H:H,"Script Done")</f>
        <v/>
      </c>
    </row>
    <row r="9">
      <c r="A9" t="inlineStr">
        <is>
          <t>Reviewed</t>
        </is>
      </c>
      <c r="B9">
        <f>COUNTIF(checkout!H:H,"Reviewed")</f>
        <v/>
      </c>
    </row>
    <row r="10">
      <c r="A10" t="inlineStr">
        <is>
          <t>Blocked</t>
        </is>
      </c>
      <c r="B10">
        <f>COUNTIF(checkout!H:H,"Blocked")</f>
        <v/>
      </c>
    </row>
    <row r="11">
      <c r="A11" t="inlineStr">
        <is>
          <t>Skipped</t>
        </is>
      </c>
      <c r="B11">
        <f>COUNTIF(checkout!H:H,"Skipped")</f>
        <v/>
      </c>
    </row>
    <row r="13">
      <c r="A13" s="7" t="inlineStr">
        <is>
          <t>By Priority</t>
        </is>
      </c>
      <c r="B13" s="7" t="inlineStr">
        <is>
          <t>Count</t>
        </is>
      </c>
    </row>
    <row r="14">
      <c r="A14" t="inlineStr">
        <is>
          <t>High</t>
        </is>
      </c>
      <c r="B14">
        <f>COUNTIF(checkout!G:G,"High*")</f>
        <v/>
      </c>
    </row>
    <row r="15">
      <c r="A15" t="inlineStr">
        <is>
          <t>Medium</t>
        </is>
      </c>
      <c r="B15">
        <f>COUNTIF(checkout!G:G,"Medium*")</f>
        <v/>
      </c>
    </row>
    <row r="16">
      <c r="A16" t="inlineStr">
        <is>
          <t>Low</t>
        </is>
      </c>
      <c r="B16">
        <f>COUNTIF(checkout!G:G,"Low*")</f>
        <v/>
      </c>
    </row>
    <row r="18">
      <c r="A18" s="7" t="inlineStr">
        <is>
          <t>By Group</t>
        </is>
      </c>
      <c r="B18" s="7" t="inlineStr">
        <is>
          <t>Count</t>
        </is>
      </c>
    </row>
    <row r="19">
      <c r="A19" t="inlineStr">
        <is>
          <t>Home / Navigation</t>
        </is>
      </c>
      <c r="B19">
        <f>COUNTIF(checkout!B:B,"Home / Navigation")</f>
        <v/>
      </c>
    </row>
    <row r="20">
      <c r="A20" t="inlineStr">
        <is>
          <t>Category / Listing / Search</t>
        </is>
      </c>
      <c r="B20">
        <f>COUNTIF(checkout!B:B,"Category / Listing / Search")</f>
        <v/>
      </c>
    </row>
    <row r="21">
      <c r="A21" t="inlineStr">
        <is>
          <t>Product Detail</t>
        </is>
      </c>
      <c r="B21">
        <f>COUNTIF(checkout!B:B,"Product Detail")</f>
        <v/>
      </c>
    </row>
    <row r="22">
      <c r="A22" t="inlineStr">
        <is>
          <t>Cart</t>
        </is>
      </c>
      <c r="B22">
        <f>COUNTIF(checkout!B:B,"Cart")</f>
        <v/>
      </c>
    </row>
    <row r="23">
      <c r="A23" t="inlineStr">
        <is>
          <t>Checkout (Validation + Shipping + Message Card)</t>
        </is>
      </c>
      <c r="B23">
        <f>COUNTIF(checkout!B:B,"Checkout (Validation + Shipping + Message Card)")</f>
        <v/>
      </c>
    </row>
    <row r="24">
      <c r="A24" t="inlineStr">
        <is>
          <t>Coupon / Promotion</t>
        </is>
      </c>
      <c r="B24">
        <f>COUNTIF(checkout!B:B,"Coupon / Promotion")</f>
        <v/>
      </c>
    </row>
    <row r="25">
      <c r="A25" t="inlineStr">
        <is>
          <t>Register / Auth (during checkout)</t>
        </is>
      </c>
      <c r="B25">
        <f>COUNTIF(checkout!B:B,"Register / Auth (during checkout)")</f>
        <v/>
      </c>
    </row>
    <row r="26">
      <c r="A26" t="inlineStr">
        <is>
          <t>Payment</t>
        </is>
      </c>
      <c r="B26">
        <f>COUNTIF(checkout!B:B,"Payment")</f>
        <v/>
      </c>
    </row>
    <row r="27">
      <c r="A27" t="inlineStr">
        <is>
          <t>Order Success / Tracking</t>
        </is>
      </c>
      <c r="B27">
        <f>COUNTIF(checkout!B:B,"Order Success / Tracking")</f>
        <v/>
      </c>
    </row>
    <row r="28">
      <c r="A28" t="inlineStr">
        <is>
          <t>Cross-cutting: API Error / Session / Security / Responsive</t>
        </is>
      </c>
      <c r="B28">
        <f>COUNTIF(checkout!B:B,"Cross-cutting: API Error / Session / Security / Responsive")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2026-06-25T06:55:28Z</dcterms:created>
  <dcterms:modified xsi:type="dcterms:W3CDTF">2026-06-30T06:58:08Z</dcterms:modified>
</cp:coreProperties>
</file>